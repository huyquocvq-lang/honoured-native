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Weekly Progress" sheetId="2" state="visible" r:id="rId2"/>
    <sheet xmlns:r="http://schemas.openxmlformats.org/officeDocument/2006/relationships" name="Task Tracker" sheetId="3" state="visible" r:id="rId3"/>
    <sheet xmlns:r="http://schemas.openxmlformats.org/officeDocument/2006/relationships" name="Screenshots" sheetId="4" state="visible" r:id="rId4"/>
    <sheet xmlns:r="http://schemas.openxmlformats.org/officeDocument/2006/relationships" name="Open Items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</font>
    <font>
      <b val="1"/>
      <color rgb="FF1F3A5F"/>
      <sz val="16"/>
    </font>
    <font>
      <color rgb="FF6B7684"/>
      <sz val="10"/>
    </font>
    <font>
      <b val="1"/>
      <color rgb="FF1F3A5F"/>
      <sz val="11"/>
    </font>
    <font>
      <b val="1"/>
      <color rgb="FFFFFFFF"/>
      <sz val="10"/>
    </font>
    <font>
      <b val="1"/>
    </font>
    <font>
      <b val="1"/>
      <sz val="10"/>
    </font>
    <font>
      <b val="1"/>
      <color rgb="FF000000"/>
      <sz val="10"/>
    </font>
    <font>
      <b val="1"/>
      <color rgb="FF9C5700"/>
      <sz val="10"/>
    </font>
    <font>
      <b val="1"/>
      <color rgb="FF006100"/>
      <sz val="10"/>
    </font>
    <font>
      <b val="1"/>
      <color rgb="FF9C0006"/>
      <sz val="10"/>
    </font>
    <font>
      <b val="1"/>
      <color rgb="FF5A5A5A"/>
      <sz val="10"/>
    </font>
    <font>
      <b val="1"/>
      <color rgb="FF1F3A5F"/>
      <sz val="14"/>
    </font>
  </fonts>
  <fills count="10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E8EDF3"/>
      </patternFill>
    </fill>
    <fill>
      <patternFill patternType="solid">
        <fgColor rgb="FFFFFFFF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4E4E4"/>
      </patternFill>
    </fill>
    <fill>
      <patternFill patternType="solid">
        <fgColor rgb="FFF5F7FA"/>
      </patternFill>
    </fill>
  </fills>
  <borders count="6">
    <border/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  <border>
      <top style="thin">
        <color rgb="FFD0D7DE"/>
      </top>
    </border>
    <border>
      <right style="thin">
        <color rgb="FFD0D7DE"/>
      </right>
      <top style="thin">
        <color rgb="FFD0D7DE"/>
      </top>
    </border>
    <border>
      <top style="thin">
        <color rgb="FFD0D7DE"/>
      </top>
      <bottom style="thin">
        <color rgb="FFD0D7DE"/>
      </bottom>
    </border>
    <border>
      <right style="thin">
        <color rgb="FFD0D7DE"/>
      </right>
      <top style="thin">
        <color rgb="FFD0D7DE"/>
      </top>
      <bottom style="thin">
        <color rgb="FFD0D7DE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0" fontId="5" fillId="0" borderId="1" pivotButton="0" quotePrefix="0" xfId="0"/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center" wrapText="1"/>
    </xf>
    <xf numFmtId="0" fontId="5" fillId="3" borderId="1" pivotButton="0" quotePrefix="0" xfId="0"/>
    <xf numFmtId="0" fontId="0" fillId="3" borderId="1" pivotButton="0" quotePrefix="0" xfId="0"/>
    <xf numFmtId="9" fontId="5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1" pivotButton="0" quotePrefix="0" xfId="0"/>
    <xf numFmtId="0" fontId="7" fillId="4" borderId="1" pivotButton="0" quotePrefix="0" xfId="0"/>
    <xf numFmtId="0" fontId="8" fillId="5" borderId="1" pivotButton="0" quotePrefix="0" xfId="0"/>
    <xf numFmtId="0" fontId="9" fillId="6" borderId="1" pivotButton="0" quotePrefix="0" xfId="0"/>
    <xf numFmtId="0" fontId="10" fillId="7" borderId="1" pivotButton="0" quotePrefix="0" xfId="0"/>
    <xf numFmtId="0" fontId="11" fillId="8" borderId="1" pivotButton="0" quotePrefix="0" xfId="0"/>
    <xf numFmtId="0" fontId="12" fillId="0" borderId="0" pivotButton="0" quotePrefix="0" xfId="0"/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</cellXfs>
  <cellStyles count="1">
    <cellStyle name="Normal" xfId="0"/>
  </cellStyles>
  <dxfs count="4">
    <dxf>
      <font>
        <b val="1"/>
        <color rgb="00006100"/>
      </font>
      <fill>
        <patternFill>
          <bgColor rgb="00C6EFCE"/>
        </patternFill>
      </fill>
    </dxf>
    <dxf>
      <font>
        <b val="1"/>
        <color rgb="009C5700"/>
      </font>
      <fill>
        <patternFill>
          <bgColor rgb="00FFEB9C"/>
        </patternFill>
      </fill>
    </dxf>
    <dxf>
      <font>
        <b val="1"/>
        <color rgb="009C0006"/>
      </font>
      <fill>
        <patternFill>
          <bgColor rgb="00FFC7CE"/>
        </patternFill>
      </fill>
    </dxf>
    <dxf>
      <font>
        <b val="1"/>
        <color rgb="005A5A5A"/>
      </font>
      <fill>
        <patternFill>
          <bgColor rgb="00E4E4E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14" customWidth="1" min="4" max="4"/>
    <col width="14" customWidth="1" min="5" max="5"/>
    <col width="12" customWidth="1" min="6" max="6"/>
    <col width="44" customWidth="1" min="7" max="7"/>
  </cols>
  <sheetData>
    <row r="1">
      <c r="A1" s="1" t="inlineStr">
        <is>
          <t>Honoured V1.1 — Native iOS Progress Tracker</t>
        </is>
      </c>
    </row>
    <row r="2">
      <c r="A2" s="2" t="inlineStr">
        <is>
          <t>Daily progress, task status and build screenshots for the V1.1 native scope (HealthKit, notifications, Dynamic Island, sign-in). Last updated Sep 15.</t>
        </is>
      </c>
    </row>
    <row r="3">
      <c r="A3" s="2" t="inlineStr">
        <is>
          <t>Scope: iOS native layer only. Web app (Contract, Progress, Journal, Calendar, Settings) is tracked separately. Android is out of scope for V1.1.</t>
        </is>
      </c>
    </row>
    <row r="5">
      <c r="A5" s="3" t="inlineStr">
        <is>
          <t>MILESTONES</t>
        </is>
      </c>
    </row>
    <row r="6" ht="28" customHeight="1">
      <c r="A6" s="4" t="inlineStr">
        <is>
          <t>Milestone</t>
        </is>
      </c>
      <c r="B6" s="4" t="inlineStr">
        <is>
          <t>Dates</t>
        </is>
      </c>
      <c r="C6" s="4" t="inlineStr">
        <is>
          <t>Payment</t>
        </is>
      </c>
      <c r="D6" s="4" t="inlineStr">
        <is>
          <t>Est. hours</t>
        </is>
      </c>
      <c r="E6" s="4" t="inlineStr">
        <is>
          <t>Actual hours</t>
        </is>
      </c>
      <c r="F6" s="4" t="inlineStr">
        <is>
          <t>% complete</t>
        </is>
      </c>
      <c r="G6" s="4" t="inlineStr">
        <is>
          <t>Deliverable</t>
        </is>
      </c>
    </row>
    <row r="7" ht="30" customHeight="1">
      <c r="A7" s="5" t="inlineStr">
        <is>
          <t>M1</t>
        </is>
      </c>
      <c r="B7" s="6" t="inlineStr">
        <is>
          <t>Sep 8</t>
        </is>
      </c>
      <c r="C7" s="6" t="inlineStr">
        <is>
          <t>$500</t>
        </is>
      </c>
      <c r="D7" s="6">
        <f>SUMIF('Task Tracker'!B:B,"M1",'Task Tracker'!F:F)</f>
        <v/>
      </c>
      <c r="E7" s="6">
        <f>SUMIF('Task Tracker'!B:B,"M1",'Task Tracker'!G:G)</f>
        <v/>
      </c>
      <c r="F7" s="7">
        <f>IF(COUNTIF('Task Tracker'!B:B,"M1")=0,0,COUNTIFS('Task Tracker'!B:B,"M1",'Task Tracker'!H:H,"Done")/COUNTIF('Task Tracker'!B:B,"M1"))</f>
        <v/>
      </c>
      <c r="G7" s="8" t="inlineStr">
        <is>
          <t>Scope locked: bridge contract, database schema, project configuration</t>
        </is>
      </c>
    </row>
    <row r="8" ht="30" customHeight="1">
      <c r="A8" s="5" t="inlineStr">
        <is>
          <t>M2</t>
        </is>
      </c>
      <c r="B8" s="6" t="inlineStr">
        <is>
          <t>Sep 8 – 28</t>
        </is>
      </c>
      <c r="C8" s="6" t="inlineStr">
        <is>
          <t>$700</t>
        </is>
      </c>
      <c r="D8" s="6">
        <f>SUMIF('Task Tracker'!B:B,"M2",'Task Tracker'!F:F)</f>
        <v/>
      </c>
      <c r="E8" s="6">
        <f>SUMIF('Task Tracker'!B:B,"M2",'Task Tracker'!G:G)</f>
        <v/>
      </c>
      <c r="F8" s="7">
        <f>IF(COUNTIF('Task Tracker'!B:B,"M2")=0,0,COUNTIFS('Task Tracker'!B:B,"M2",'Task Tracker'!H:H,"Done")/COUNTIF('Task Tracker'!B:B,"M2"))</f>
        <v/>
      </c>
      <c r="G8" s="8" t="inlineStr">
        <is>
          <t>V1.1 on the App Store — HealthKit, notifications, timer, gong, Sign in with Apple</t>
        </is>
      </c>
    </row>
    <row r="9" ht="30" customHeight="1">
      <c r="A9" s="5" t="inlineStr">
        <is>
          <t>M3</t>
        </is>
      </c>
      <c r="B9" s="6" t="inlineStr">
        <is>
          <t>Sep 29 – Oct 12</t>
        </is>
      </c>
      <c r="C9" s="6" t="inlineStr">
        <is>
          <t>$500</t>
        </is>
      </c>
      <c r="D9" s="6">
        <f>SUMIF('Task Tracker'!B:B,"M3",'Task Tracker'!F:F)</f>
        <v/>
      </c>
      <c r="E9" s="6">
        <f>SUMIF('Task Tracker'!B:B,"M3",'Task Tracker'!G:G)</f>
        <v/>
      </c>
      <c r="F9" s="7">
        <f>IF(COUNTIF('Task Tracker'!B:B,"M3")=0,0,COUNTIFS('Task Tracker'!B:B,"M3",'Task Tracker'!H:H,"Done")/COUNTIF('Task Tracker'!B:B,"M3"))</f>
        <v/>
      </c>
      <c r="G9" s="8" t="inlineStr">
        <is>
          <t>Dynamic Island (Live Activity) and Google Sign-In shipped</t>
        </is>
      </c>
    </row>
    <row r="10">
      <c r="A10" s="9" t="inlineStr">
        <is>
          <t>Total</t>
        </is>
      </c>
      <c r="B10" s="10" t="n"/>
      <c r="C10" s="9" t="inlineStr">
        <is>
          <t>$1,700</t>
        </is>
      </c>
      <c r="D10" s="9">
        <f>SUM(D7:D9)</f>
        <v/>
      </c>
      <c r="E10" s="9">
        <f>SUM(E7:E9)</f>
        <v/>
      </c>
      <c r="F10" s="11">
        <f>IF(COUNTA('Task Tracker'!A:A)-1=0,0,COUNTIF('Task Tracker'!H:H,"Done")/(COUNTA('Task Tracker'!A:A)-1))</f>
        <v/>
      </c>
      <c r="G10" s="10" t="n"/>
    </row>
    <row r="12">
      <c r="A12" s="3" t="inlineStr">
        <is>
          <t>CONFIRMED DECISIONS</t>
        </is>
      </c>
    </row>
    <row r="13" ht="28" customHeight="1">
      <c r="A13" s="4" t="inlineStr">
        <is>
          <t>Topic</t>
        </is>
      </c>
      <c r="B13" s="4" t="inlineStr">
        <is>
          <t>Decision</t>
        </is>
      </c>
      <c r="C13" s="12" t="n"/>
      <c r="D13" s="12" t="n"/>
      <c r="E13" s="12" t="n"/>
      <c r="F13" s="12" t="n"/>
      <c r="G13" s="13" t="n"/>
    </row>
    <row r="14" ht="26" customHeight="1">
      <c r="A14" s="14" t="inlineStr">
        <is>
          <t>Dynamic Island</t>
        </is>
      </c>
      <c r="B14" s="8" t="inlineStr">
        <is>
          <t>Ships in M3 (October) as a follow-up update, so it does not block the Sep 28 launch.</t>
        </is>
      </c>
      <c r="C14" s="12" t="n"/>
      <c r="D14" s="12" t="n"/>
      <c r="E14" s="12" t="n"/>
      <c r="F14" s="12" t="n"/>
      <c r="G14" s="13" t="n"/>
    </row>
    <row r="15" ht="26" customHeight="1">
      <c r="A15" s="14" t="inlineStr">
        <is>
          <t>Notifications</t>
        </is>
      </c>
      <c r="B15" s="8" t="inlineStr">
        <is>
          <t>Local, on-device notifications. No server-triggered push infrastructure.</t>
        </is>
      </c>
      <c r="C15" s="12" t="n"/>
      <c r="D15" s="12" t="n"/>
      <c r="E15" s="12" t="n"/>
      <c r="F15" s="12" t="n"/>
      <c r="G15" s="13" t="n"/>
    </row>
    <row r="16" ht="26" customHeight="1">
      <c r="A16" s="14" t="inlineStr">
        <is>
          <t>Sleep data</t>
        </is>
      </c>
      <c r="B16" s="8" t="inlineStr">
        <is>
          <t>The metric is hidden when no data is available (common on iPhone without an Apple Watch).</t>
        </is>
      </c>
      <c r="C16" s="12" t="n"/>
      <c r="D16" s="12" t="n"/>
      <c r="E16" s="12" t="n"/>
      <c r="F16" s="12" t="n"/>
      <c r="G16" s="13" t="n"/>
    </row>
    <row r="17" ht="26" customHeight="1">
      <c r="A17" s="14" t="inlineStr">
        <is>
          <t>Sign-in</t>
        </is>
      </c>
      <c r="B17" s="8" t="inlineStr">
        <is>
          <t>V1.1 ships Sign in with Apple only. Google Sign-In moves to M3.</t>
        </is>
      </c>
      <c r="C17" s="12" t="n"/>
      <c r="D17" s="12" t="n"/>
      <c r="E17" s="12" t="n"/>
      <c r="F17" s="12" t="n"/>
      <c r="G17" s="13" t="n"/>
    </row>
    <row r="18" ht="26" customHeight="1">
      <c r="A18" s="14" t="inlineStr">
        <is>
          <t>Background sync</t>
        </is>
      </c>
      <c r="B18" s="8" t="inlineStr">
        <is>
          <t>Best-effort. iOS schedules background work opportunistically; an exact 1–2 hour cadence cannot be guaranteed.</t>
        </is>
      </c>
      <c r="C18" s="12" t="n"/>
      <c r="D18" s="12" t="n"/>
      <c r="E18" s="12" t="n"/>
      <c r="F18" s="12" t="n"/>
      <c r="G18" s="13" t="n"/>
    </row>
    <row r="19" ht="26" customHeight="1">
      <c r="A19" s="14" t="inlineStr">
        <is>
          <t>Android</t>
        </is>
      </c>
      <c r="B19" s="8" t="inlineStr">
        <is>
          <t>Out of scope for V1.1, consistent with the original spec (V1.2+).</t>
        </is>
      </c>
      <c r="C19" s="12" t="n"/>
      <c r="D19" s="12" t="n"/>
      <c r="E19" s="12" t="n"/>
      <c r="F19" s="12" t="n"/>
      <c r="G19" s="13" t="n"/>
    </row>
    <row r="20" ht="26" customHeight="1">
      <c r="A20" s="14" t="inlineStr">
        <is>
          <t>Daily totals</t>
        </is>
      </c>
      <c r="B20" s="8" t="inlineStr">
        <is>
          <t>Computed on-device with HealthKit statistics (source-deduplicated) and uploaded as such, so iPhone + Watch users are not double counted. Decided Sep 13.</t>
        </is>
      </c>
      <c r="C20" s="12" t="n"/>
      <c r="D20" s="12" t="n"/>
      <c r="E20" s="12" t="n"/>
      <c r="F20" s="12" t="n"/>
      <c r="G20" s="13" t="n"/>
    </row>
    <row r="22">
      <c r="A22" s="3" t="inlineStr">
        <is>
          <t>STATUS LEGEND</t>
        </is>
      </c>
    </row>
    <row r="23">
      <c r="A23" s="15" t="inlineStr">
        <is>
          <t>Not started</t>
        </is>
      </c>
    </row>
    <row r="24">
      <c r="A24" s="16" t="inlineStr">
        <is>
          <t>In progress</t>
        </is>
      </c>
    </row>
    <row r="25">
      <c r="A25" s="17" t="inlineStr">
        <is>
          <t>Done</t>
        </is>
      </c>
    </row>
    <row r="26">
      <c r="A26" s="18" t="inlineStr">
        <is>
          <t>Blocked</t>
        </is>
      </c>
    </row>
    <row r="27">
      <c r="A27" s="19" t="inlineStr">
        <is>
          <t>Deferred</t>
        </is>
      </c>
    </row>
  </sheetData>
  <mergeCells count="8">
    <mergeCell ref="B16:G16"/>
    <mergeCell ref="B20:G20"/>
    <mergeCell ref="B19:G19"/>
    <mergeCell ref="B14:G14"/>
    <mergeCell ref="B17:G17"/>
    <mergeCell ref="B18:G18"/>
    <mergeCell ref="B13:G13"/>
    <mergeCell ref="B15:G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46" customWidth="1" min="4" max="4"/>
    <col width="14" customWidth="1" min="5" max="5"/>
    <col width="9" customWidth="1" min="6" max="6"/>
    <col width="9" customWidth="1" min="7" max="7"/>
    <col width="40" customWidth="1" min="8" max="8"/>
    <col width="34" customWidth="1" min="9" max="9"/>
    <col width="40" customWidth="1" min="10" max="10"/>
  </cols>
  <sheetData>
    <row r="1">
      <c r="A1" s="20" t="inlineStr">
        <is>
          <t>Weekly Progress</t>
        </is>
      </c>
    </row>
    <row r="2">
      <c r="A2" s="2" t="inlineStr">
        <is>
          <t>Week-level summary, updated daily. Screenshots and build links go in the Screenshots sheet.</t>
        </is>
      </c>
    </row>
    <row r="4" ht="28" customHeight="1">
      <c r="A4" s="4" t="inlineStr">
        <is>
          <t>Week</t>
        </is>
      </c>
      <c r="B4" s="4" t="inlineStr">
        <is>
          <t>Dates</t>
        </is>
      </c>
      <c r="C4" s="4" t="inlineStr">
        <is>
          <t>Focus</t>
        </is>
      </c>
      <c r="D4" s="4" t="inlineStr">
        <is>
          <t>Planned this week</t>
        </is>
      </c>
      <c r="E4" s="4" t="inlineStr">
        <is>
          <t>Status</t>
        </is>
      </c>
      <c r="F4" s="4" t="inlineStr">
        <is>
          <t>Est. h</t>
        </is>
      </c>
      <c r="G4" s="4" t="inlineStr">
        <is>
          <t>Actual h</t>
        </is>
      </c>
      <c r="H4" s="4" t="inlineStr">
        <is>
          <t>Delivered so far</t>
        </is>
      </c>
      <c r="I4" s="4" t="inlineStr">
        <is>
          <t>Blockers</t>
        </is>
      </c>
      <c r="J4" s="4" t="inlineStr">
        <is>
          <t>Notes for client</t>
        </is>
      </c>
    </row>
    <row r="5" ht="96" customHeight="1">
      <c r="A5" s="21" t="inlineStr">
        <is>
          <t>Scope lock</t>
        </is>
      </c>
      <c r="B5" s="22" t="inlineStr">
        <is>
          <t>Sep 8</t>
        </is>
      </c>
      <c r="C5" s="22" t="inlineStr">
        <is>
          <t>Contract and schema locked</t>
        </is>
      </c>
      <c r="D5" s="22" t="inlineStr">
        <is>
          <t>Bridge v2 message contract, Supabase schema and RLS, project configuration, written confirmation of decisions</t>
        </is>
      </c>
      <c r="E5" s="22" t="inlineStr">
        <is>
          <t>Done</t>
        </is>
      </c>
      <c r="F5" s="22">
        <f>SUMIF('Task Tracker'!C:C,"Scope lock",'Task Tracker'!F:F)</f>
        <v/>
      </c>
      <c r="G5" s="22" t="n"/>
      <c r="H5" s="22" t="inlineStr">
        <is>
          <t>Bridge v2 contract, metric mapping and client decisions confirmed. Schema design done; apply path pending.</t>
        </is>
      </c>
      <c r="I5" s="22" t="inlineStr"/>
      <c r="J5" s="22" t="inlineStr"/>
    </row>
    <row r="6" ht="96" customHeight="1">
      <c r="A6" s="23" t="inlineStr">
        <is>
          <t>Week 1</t>
        </is>
      </c>
      <c r="B6" s="24" t="inlineStr">
        <is>
          <t>Sep 8 – 14</t>
        </is>
      </c>
      <c r="C6" s="24" t="inlineStr">
        <is>
          <t>HealthKit foundation</t>
        </is>
      </c>
      <c r="D6" s="24" t="inlineStr">
        <is>
          <t>Permission flow, reads for all seven metrics, Supabase sync, offline queue, duplicate protection</t>
        </is>
      </c>
      <c r="E6" s="24" t="inlineStr">
        <is>
          <t>In progress</t>
        </is>
      </c>
      <c r="F6" s="24">
        <f>SUMIF('Task Tracker'!C:C,"Week 1",'Task Tracker'!F:F)</f>
        <v/>
      </c>
      <c r="G6" s="24" t="n"/>
      <c r="H6" s="24" t="inlineStr">
        <is>
          <t>Native Week 1 code completed and audited: HealthKit permission/anchored reads, source-deduplicated daily totals, Supabase sync, user-bound offline queue, real reconnect retry, Keychain token refresh and bridge v2. Supabase production schema/RPC access controls rechecked; Lovable commit 9c13 passed 91 web tests.</t>
        </is>
      </c>
      <c r="I6" s="24" t="inlineStr">
        <is>
          <t>Apple Developer capabilities, signing and real-device HealthKit tests remain deferred. The deployed Lovable production bundle still lacks bridge v2, so production E2E is blocked until that commit is published.</t>
        </is>
      </c>
      <c r="J6" s="24" t="inlineStr">
        <is>
          <t>Sep 15 audit fixed reconnect reads, retry looping, account isolation, finite-number validation, overlapping sleep totals and late historical samples. Static checks pass. The attempted simulator build was stopped with no result; latest confirmed simulator build remains Sep 14.</t>
        </is>
      </c>
    </row>
    <row r="7" ht="54" customHeight="1">
      <c r="A7" s="21" t="inlineStr">
        <is>
          <t>Week 2</t>
        </is>
      </c>
      <c r="B7" s="22" t="inlineStr">
        <is>
          <t>Sep 15 – 21</t>
        </is>
      </c>
      <c r="C7" s="22" t="inlineStr">
        <is>
          <t>Ceremony and identity</t>
        </is>
      </c>
      <c r="D7" s="22" t="inlineStr">
        <is>
          <t>Background sync, Testament Timer notifications, goal-completion alerts, gong sound, Sign in with Apple</t>
        </is>
      </c>
      <c r="E7" s="22" t="inlineStr">
        <is>
          <t>In progress</t>
        </is>
      </c>
      <c r="F7" s="22">
        <f>SUMIF('Task Tracker'!C:C,"Week 2",'Task Tracker'!F:F)</f>
        <v/>
      </c>
      <c r="G7" s="22" t="n"/>
      <c r="H7" s="22" t="inlineStr">
        <is>
          <t>N-09 background delivery code complete (Sep 15): observer queries for all nine metrics registered at launch, hourly background delivery enabled once a session exists, HealthKit acknowledged only after the batch is durably queued, single upload attempt per wake, concurrent wakes coalesced. Simulator build passes.</t>
        </is>
      </c>
      <c r="I7" s="22" t="inlineStr">
        <is>
          <t>Device acceptance depends on Apple Developer capabilities/signing. Production E2E also depends on publishing Lovable commit 9c13 and anonymous/linkIdentity support. Approved gong asset is still needed for N-15.</t>
        </is>
      </c>
      <c r="J7" s="22" t="inlineStr">
        <is>
          <t>Execution plan Sep 15–21: N-09 background collection (code done Sep 15); N-10 BGTask fallback; N-11/N-14 notification + durable cold-start events; N-12 timer; N-13 one-per-day goal alerts; N-15 gong; N-16 Apple identity. Background delivery cannot be exercised on the simulator, so N-09 stays In progress until a signed device build is available.</t>
        </is>
      </c>
    </row>
    <row r="8" ht="54" customHeight="1">
      <c r="A8" s="23" t="inlineStr">
        <is>
          <t>Week 3</t>
        </is>
      </c>
      <c r="B8" s="24" t="inlineStr">
        <is>
          <t>Sep 22 – 28</t>
        </is>
      </c>
      <c r="C8" s="24" t="inlineStr">
        <is>
          <t>QA and release</t>
        </is>
      </c>
      <c r="D8" s="24" t="inlineStr">
        <is>
          <t>Permission and background QA, bug fixes, privacy paperwork, TestFlight, App Store submission</t>
        </is>
      </c>
      <c r="E8" s="24" t="inlineStr">
        <is>
          <t>Not started</t>
        </is>
      </c>
      <c r="F8" s="24">
        <f>SUMIF('Task Tracker'!C:C,"Week 3",'Task Tracker'!F:F)</f>
        <v/>
      </c>
      <c r="G8" s="24" t="n"/>
      <c r="H8" s="24" t="inlineStr"/>
      <c r="I8" s="24" t="inlineStr"/>
      <c r="J8" s="24" t="inlineStr"/>
    </row>
    <row r="9" ht="54" customHeight="1">
      <c r="A9" s="21" t="inlineStr">
        <is>
          <t>Week 4</t>
        </is>
      </c>
      <c r="B9" s="22" t="inlineStr">
        <is>
          <t>Sep 29 – Oct 5</t>
        </is>
      </c>
      <c r="C9" s="22" t="inlineStr">
        <is>
          <t>Dynamic Island build</t>
        </is>
      </c>
      <c r="D9" s="22" t="inlineStr">
        <is>
          <t>Widget Extension target, Live Activity presentations, activity lifecycle</t>
        </is>
      </c>
      <c r="E9" s="22" t="inlineStr">
        <is>
          <t>Not started</t>
        </is>
      </c>
      <c r="F9" s="22">
        <f>SUMIF('Task Tracker'!C:C,"Week 4",'Task Tracker'!F:F)</f>
        <v/>
      </c>
      <c r="G9" s="22" t="n"/>
      <c r="H9" s="22" t="inlineStr"/>
      <c r="I9" s="22" t="inlineStr"/>
      <c r="J9" s="22" t="inlineStr"/>
    </row>
    <row r="10" ht="54" customHeight="1">
      <c r="A10" s="23" t="inlineStr">
        <is>
          <t>Week 5</t>
        </is>
      </c>
      <c r="B10" s="24" t="inlineStr">
        <is>
          <t>Oct 6 – 12</t>
        </is>
      </c>
      <c r="C10" s="24" t="inlineStr">
        <is>
          <t>Dynamic Island finish + Google</t>
        </is>
      </c>
      <c r="D10" s="24" t="inlineStr">
        <is>
          <t>Three-blink completion effect, HealthKit goal hook, Google Sign-In, QA and update submission</t>
        </is>
      </c>
      <c r="E10" s="24" t="inlineStr">
        <is>
          <t>Not started</t>
        </is>
      </c>
      <c r="F10" s="24">
        <f>SUMIF('Task Tracker'!C:C,"Week 5",'Task Tracker'!F:F)</f>
        <v/>
      </c>
      <c r="G10" s="24" t="n"/>
      <c r="H10" s="24" t="inlineStr"/>
      <c r="I10" s="24" t="inlineStr"/>
      <c r="J10" s="24" t="inlineStr"/>
    </row>
  </sheetData>
  <conditionalFormatting sqref="E5:E1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"Deferred"</formula>
    </cfRule>
  </conditionalFormatting>
  <dataValidations count="1">
    <dataValidation sqref="E5:E10" showDropDown="0" showInputMessage="0" showErrorMessage="0" allowBlank="1" type="list">
      <formula1>"Not started,In progress,Done,Blocked,Deferred"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46" customWidth="1" min="4" max="4"/>
    <col width="10" customWidth="1" min="5" max="5"/>
    <col width="8" customWidth="1" min="6" max="6"/>
    <col width="9" customWidth="1" min="7" max="7"/>
    <col width="14" customWidth="1" min="8" max="8"/>
    <col width="44" customWidth="1" min="9" max="9"/>
    <col width="30" customWidth="1" min="10" max="10"/>
    <col width="60" customWidth="1" min="11" max="11"/>
  </cols>
  <sheetData>
    <row r="1">
      <c r="A1" s="20" t="inlineStr">
        <is>
          <t>Task Tracker</t>
        </is>
      </c>
    </row>
    <row r="2">
      <c r="A2" s="2" t="inlineStr">
        <is>
          <t>Every task in the native scope. Filter by milestone or week to see a slice of the work.</t>
        </is>
      </c>
    </row>
    <row r="4" ht="28" customHeight="1">
      <c r="A4" s="4" t="inlineStr">
        <is>
          <t>ID</t>
        </is>
      </c>
      <c r="B4" s="4" t="inlineStr">
        <is>
          <t>Milestone</t>
        </is>
      </c>
      <c r="C4" s="4" t="inlineStr">
        <is>
          <t>Week</t>
        </is>
      </c>
      <c r="D4" s="4" t="inlineStr">
        <is>
          <t>Task</t>
        </is>
      </c>
      <c r="E4" s="4" t="inlineStr">
        <is>
          <t>Layer</t>
        </is>
      </c>
      <c r="F4" s="4" t="inlineStr">
        <is>
          <t>Est. h</t>
        </is>
      </c>
      <c r="G4" s="4" t="inlineStr">
        <is>
          <t>Actual h</t>
        </is>
      </c>
      <c r="H4" s="4" t="inlineStr">
        <is>
          <t>Status</t>
        </is>
      </c>
      <c r="I4" s="4" t="inlineStr">
        <is>
          <t>Done when</t>
        </is>
      </c>
      <c r="J4" s="4" t="inlineStr">
        <is>
          <t>Evidence</t>
        </is>
      </c>
      <c r="K4" s="4" t="inlineStr">
        <is>
          <t>Notes</t>
        </is>
      </c>
    </row>
    <row r="5" ht="72" customHeight="1">
      <c r="A5" s="21" t="inlineStr">
        <is>
          <t>M1-01</t>
        </is>
      </c>
      <c r="B5" s="22" t="inlineStr">
        <is>
          <t>M1</t>
        </is>
      </c>
      <c r="C5" s="22" t="inlineStr">
        <is>
          <t>Scope lock</t>
        </is>
      </c>
      <c r="D5" s="22" t="inlineStr">
        <is>
          <t>Lock bridge v2 message contract, update docs/bridge.md</t>
        </is>
      </c>
      <c r="E5" s="22" t="inlineStr">
        <is>
          <t>Native</t>
        </is>
      </c>
      <c r="F5" s="22" t="n">
        <v>3</v>
      </c>
      <c r="G5" s="22" t="n"/>
      <c r="H5" s="22" t="inlineStr">
        <is>
          <t>Done</t>
        </is>
      </c>
      <c r="I5" s="22" t="inlineStr">
        <is>
          <t>Web side confirms they can build against the documented contract</t>
        </is>
      </c>
      <c r="J5" s="22" t="inlineStr">
        <is>
          <t>docs/bridge.md · commit c1b6bed</t>
        </is>
      </c>
      <c r="K5" s="22" t="inlineStr">
        <is>
          <t>Locked Sep 13. Adds auth-session hand-off, three distance metrics, GET_TIMER_STATE, GOAL_REACHED broadcast, linkIdentity rule for Apple. Sep 13 fix: any inbound message marks the web ready, since the current web build never sends APP_READY.</t>
        </is>
      </c>
    </row>
    <row r="6" ht="72" customHeight="1">
      <c r="A6" s="23" t="inlineStr">
        <is>
          <t>M1-02</t>
        </is>
      </c>
      <c r="B6" s="24" t="inlineStr">
        <is>
          <t>M1</t>
        </is>
      </c>
      <c r="C6" s="24" t="inlineStr">
        <is>
          <t>Scope lock</t>
        </is>
      </c>
      <c r="D6" s="24" t="inlineStr">
        <is>
          <t>Lock Supabase schema + row-level security, review with web side</t>
        </is>
      </c>
      <c r="E6" s="24" t="inlineStr">
        <is>
          <t>Supabase</t>
        </is>
      </c>
      <c r="F6" s="24" t="n">
        <v>3</v>
      </c>
      <c r="G6" s="24" t="n"/>
      <c r="H6" s="24" t="inlineStr">
        <is>
          <t>Done</t>
        </is>
      </c>
      <c r="I6" s="24" t="inlineStr">
        <is>
          <t>Schema runs on staging, RLS verified for a second user</t>
        </is>
      </c>
      <c r="J6" s="24" t="inlineStr">
        <is>
          <t>docs/db/healthkit_v1.sql · authenticated RPC transaction test</t>
        </is>
      </c>
      <c r="K6" s="24" t="inlineStr">
        <is>
          <t>Applied to Lovable Cloud Sep 14. Both tables have RLS; anon cannot read; authenticated select/insert/update and both SECURITY INVOKER RPCs verified. Test rows rolled back.</t>
        </is>
      </c>
    </row>
    <row r="7" ht="72" customHeight="1">
      <c r="A7" s="21" t="inlineStr">
        <is>
          <t>M1-03</t>
        </is>
      </c>
      <c r="B7" s="22" t="inlineStr">
        <is>
          <t>M1</t>
        </is>
      </c>
      <c r="C7" s="22" t="inlineStr">
        <is>
          <t>Scope lock</t>
        </is>
      </c>
      <c r="D7" s="22" t="inlineStr">
        <is>
          <t>Lock the 7 metrics and their HealthKit identifier mapping</t>
        </is>
      </c>
      <c r="E7" s="22" t="inlineStr">
        <is>
          <t>Native</t>
        </is>
      </c>
      <c r="F7" s="22" t="n">
        <v>1</v>
      </c>
      <c r="G7" s="22" t="n"/>
      <c r="H7" s="22" t="inlineStr">
        <is>
          <t>Done</t>
        </is>
      </c>
      <c r="I7" s="22" t="inlineStr">
        <is>
          <t>Each metric maps to a named HealthKit type, ambiguities resolved</t>
        </is>
      </c>
      <c r="J7" s="22" t="inlineStr">
        <is>
          <t>docs/bridge.md · ios/Honoured/HealthMetric.swift</t>
        </is>
      </c>
      <c r="K7" s="22" t="inlineStr">
        <is>
          <t>Nine identifiers cover the seven spec data types: distance split into walking/running, cycling, swimming; active and basal energy both read.</t>
        </is>
      </c>
    </row>
    <row r="8" ht="72" customHeight="1">
      <c r="A8" s="23" t="inlineStr">
        <is>
          <t>M1-04</t>
        </is>
      </c>
      <c r="B8" s="24" t="inlineStr">
        <is>
          <t>M1</t>
        </is>
      </c>
      <c r="C8" s="24" t="inlineStr">
        <is>
          <t>Scope lock</t>
        </is>
      </c>
      <c r="D8" s="24" t="inlineStr">
        <is>
          <t>Confirm the four client decisions in writing</t>
        </is>
      </c>
      <c r="E8" s="24" t="inlineStr">
        <is>
          <t>Ops</t>
        </is>
      </c>
      <c r="F8" s="24" t="n">
        <v>1</v>
      </c>
      <c r="G8" s="24" t="n"/>
      <c r="H8" s="24" t="inlineStr">
        <is>
          <t>Done</t>
        </is>
      </c>
      <c r="I8" s="24" t="inlineStr">
        <is>
          <t>Written confirmation on notifications, Dynamic Island, sleep, Apple-only sign-in</t>
        </is>
      </c>
      <c r="J8" s="24" t="inlineStr">
        <is>
          <t>Client message, Sep 10</t>
        </is>
      </c>
      <c r="K8" s="24" t="inlineStr">
        <is>
          <t>Confirmed: local notifications, Dynamic Island deferred to M3, sleep hidden when empty, Sign in with Apple only for V1.1.</t>
        </is>
      </c>
    </row>
    <row r="9" ht="72" customHeight="1">
      <c r="A9" s="21" t="inlineStr">
        <is>
          <t>N-01</t>
        </is>
      </c>
      <c r="B9" s="22" t="inlineStr">
        <is>
          <t>M2</t>
        </is>
      </c>
      <c r="C9" s="22" t="inlineStr">
        <is>
          <t>Week 1</t>
        </is>
      </c>
      <c r="D9" s="22" t="inlineStr">
        <is>
          <t>Bridge v2 scaffolding + event queue for pre-load events</t>
        </is>
      </c>
      <c r="E9" s="22" t="inlineStr">
        <is>
          <t>Native</t>
        </is>
      </c>
      <c r="F9" s="22" t="n">
        <v>4</v>
      </c>
      <c r="G9" s="22" t="n"/>
      <c r="H9" s="22" t="inlineStr">
        <is>
          <t>Done</t>
        </is>
      </c>
      <c r="I9" s="22" t="inlineStr">
        <is>
          <t>New message types round-trip; events fired before web is ready are replayed, not lost</t>
        </is>
      </c>
      <c r="J9" s="22" t="inlineStr">
        <is>
          <t>commit c1b6bed</t>
        </is>
      </c>
      <c r="K9" s="22" t="inlineStr">
        <is>
          <t>bridgeVersion 2, queued broadcasts (bounded to 50, survive a reload), 13 v2 messages stubbed as not_implemented so the web can tell an old build from an incomplete one.</t>
        </is>
      </c>
    </row>
    <row r="10" ht="72" customHeight="1">
      <c r="A10" s="23" t="inlineStr">
        <is>
          <t>N-02</t>
        </is>
      </c>
      <c r="B10" s="24" t="inlineStr">
        <is>
          <t>M2</t>
        </is>
      </c>
      <c r="C10" s="24" t="inlineStr">
        <is>
          <t>Week 1</t>
        </is>
      </c>
      <c r="D10" s="24" t="inlineStr">
        <is>
          <t>Project config: entitlements, Info.plist keys, Apple Developer capabilities</t>
        </is>
      </c>
      <c r="E10" s="24" t="inlineStr">
        <is>
          <t>Native</t>
        </is>
      </c>
      <c r="F10" s="24" t="n">
        <v>5</v>
      </c>
      <c r="G10" s="24" t="n"/>
      <c r="H10" s="24" t="inlineStr">
        <is>
          <t>In progress</t>
        </is>
      </c>
      <c r="I10" s="24" t="inlineStr">
        <is>
          <t>App builds and installs with HealthKit capability enabled on a real device</t>
        </is>
      </c>
      <c r="J10" s="24" t="inlineStr">
        <is>
          <t>commit 571de89 · plutil checks Sep 15 · latest confirmed simulator build Sep 14</t>
        </is>
      </c>
      <c r="K10" s="24" t="inlineStr">
        <is>
          <t>Code configuration and local Supabase public config are complete. Apple portal capability, signing and real-device install remain deferred.</t>
        </is>
      </c>
    </row>
    <row r="11" ht="72" customHeight="1">
      <c r="A11" s="21" t="inlineStr">
        <is>
          <t>N-03</t>
        </is>
      </c>
      <c r="B11" s="22" t="inlineStr">
        <is>
          <t>M2</t>
        </is>
      </c>
      <c r="C11" s="22" t="inlineStr">
        <is>
          <t>Week 1</t>
        </is>
      </c>
      <c r="D11" s="22" t="inlineStr">
        <is>
          <t>HealthKitService — authorisation flow and per-type status</t>
        </is>
      </c>
      <c r="E11" s="22" t="inlineStr">
        <is>
          <t>Native</t>
        </is>
      </c>
      <c r="F11" s="22" t="n">
        <v>6</v>
      </c>
      <c r="G11" s="22" t="n"/>
      <c r="H11" s="22" t="inlineStr">
        <is>
          <t>In progress</t>
        </is>
      </c>
      <c r="I11" s="22" t="inlineStr">
        <is>
          <t>Permission sheet appears; partial grants reported correctly per type</t>
        </is>
      </c>
      <c r="J11" s="22" t="inlineStr">
        <is>
          <t>ios/Honoured/HealthKitService.swift · simulator build Sep 14</t>
        </is>
      </c>
      <c r="K11" s="22" t="inlineStr">
        <is>
          <t>Code complete. Static audit passed Sep 15; real-device permission sheet and partial-grant validation remain deferred.</t>
        </is>
      </c>
    </row>
    <row r="12" ht="72" customHeight="1">
      <c r="A12" s="23" t="inlineStr">
        <is>
          <t>N-04</t>
        </is>
      </c>
      <c r="B12" s="24" t="inlineStr">
        <is>
          <t>M2</t>
        </is>
      </c>
      <c r="C12" s="24" t="inlineStr">
        <is>
          <t>Week 1</t>
        </is>
      </c>
      <c r="D12" s="24" t="inlineStr">
        <is>
          <t>Data reads — anchored queries for 7 metrics, anchor persistence</t>
        </is>
      </c>
      <c r="E12" s="24" t="inlineStr">
        <is>
          <t>Native</t>
        </is>
      </c>
      <c r="F12" s="24" t="n">
        <v>10</v>
      </c>
      <c r="G12" s="24" t="n"/>
      <c r="H12" s="24" t="inlineStr">
        <is>
          <t>In progress</t>
        </is>
      </c>
      <c r="I12" s="24" t="inlineStr">
        <is>
          <t>Second run returns only new samples; anchors survive an app restart</t>
        </is>
      </c>
      <c r="J12" s="24" t="inlineStr">
        <is>
          <t>ios/Honoured/HealthKitService.swift · static audit Sep 15 · simulator build Sep 14</t>
        </is>
      </c>
      <c r="K12" s="24" t="inlineStr">
        <is>
          <t>Code complete: nine metrics, 30-day initial floor, deletions, source-deduplicated quantity totals, merged overlapping sleep intervals and late historical-day recomputation. Runtime verification needs a signed real-device build.</t>
        </is>
      </c>
    </row>
    <row r="13" ht="32" customHeight="1">
      <c r="A13" s="21" t="inlineStr">
        <is>
          <t>N-05</t>
        </is>
      </c>
      <c r="B13" s="22" t="inlineStr">
        <is>
          <t>M2</t>
        </is>
      </c>
      <c r="C13" s="22" t="inlineStr">
        <is>
          <t>Week 1</t>
        </is>
      </c>
      <c r="D13" s="22" t="inlineStr">
        <is>
          <t>Supabase tables + upsert RPC + daily rollup</t>
        </is>
      </c>
      <c r="E13" s="22" t="inlineStr">
        <is>
          <t>Supabase</t>
        </is>
      </c>
      <c r="F13" s="22" t="n">
        <v>8</v>
      </c>
      <c r="G13" s="22" t="n"/>
      <c r="H13" s="22" t="inlineStr">
        <is>
          <t>Done</t>
        </is>
      </c>
      <c r="I13" s="22" t="inlineStr">
        <is>
          <t>Batch upsert is idempotent; health_daily totals match the Health app</t>
        </is>
      </c>
      <c r="J13" s="22" t="inlineStr">
        <is>
          <t>docs/db/healthkit_v1.sql · Lovable Cloud Sep 14</t>
        </is>
      </c>
      <c r="K13" s="22" t="inlineStr">
        <is>
          <t>Schema, constraints, index, RLS and both authenticated RPCs applied. Idempotent transactional upsert test passed and rolled back.</t>
        </is>
      </c>
    </row>
    <row r="14" ht="32" customHeight="1">
      <c r="A14" s="23" t="inlineStr">
        <is>
          <t>N-06</t>
        </is>
      </c>
      <c r="B14" s="24" t="inlineStr">
        <is>
          <t>M2</t>
        </is>
      </c>
      <c r="C14" s="24" t="inlineStr">
        <is>
          <t>Week 1</t>
        </is>
      </c>
      <c r="D14" s="24" t="inlineStr">
        <is>
          <t>Sync client — batch upload, deleted-sample handling</t>
        </is>
      </c>
      <c r="E14" s="24" t="inlineStr">
        <is>
          <t>Native</t>
        </is>
      </c>
      <c r="F14" s="24" t="n">
        <v>6</v>
      </c>
      <c r="G14" s="24" t="n"/>
      <c r="H14" s="24" t="inlineStr">
        <is>
          <t>In progress</t>
        </is>
      </c>
      <c r="I14" s="24" t="inlineStr">
        <is>
          <t>Deleting a sample in Health removes it from the daily total</t>
        </is>
      </c>
      <c r="J14" s="24" t="inlineStr">
        <is>
          <t>ios/Honoured/HealthSyncClient.swift · account-isolation audit Sep 15</t>
        </is>
      </c>
      <c r="K14" s="24" t="inlineStr">
        <is>
          <t>Upload/deletion handling complete. Batches are bound to their source user and token refresh rejects a different user. End-to-end Health deletion still needs a real device.</t>
        </is>
      </c>
    </row>
    <row r="15" ht="32" customHeight="1">
      <c r="A15" s="21" t="inlineStr">
        <is>
          <t>N-07</t>
        </is>
      </c>
      <c r="B15" s="22" t="inlineStr">
        <is>
          <t>M2</t>
        </is>
      </c>
      <c r="C15" s="22" t="inlineStr">
        <is>
          <t>Week 1</t>
        </is>
      </c>
      <c r="D15" s="22" t="inlineStr">
        <is>
          <t>Offline queue + retry on reconnect</t>
        </is>
      </c>
      <c r="E15" s="22" t="inlineStr">
        <is>
          <t>Native</t>
        </is>
      </c>
      <c r="F15" s="22" t="n">
        <v>4</v>
      </c>
      <c r="G15" s="22" t="n"/>
      <c r="H15" s="22" t="inlineStr">
        <is>
          <t>In progress</t>
        </is>
      </c>
      <c r="I15" s="22" t="inlineStr">
        <is>
          <t>Airplane mode then reconnect syncs everything with no duplicate rows</t>
        </is>
      </c>
      <c r="J15" s="22" t="inlineStr">
        <is>
          <t>ios/Honoured/OfflineHealthQueue.swift · reconnect/retry audit Sep 15</t>
        </is>
      </c>
      <c r="K15" s="22" t="inlineStr">
        <is>
          <t>Atomic disk queue now rolls back failed persistence, reconnect reads new Health data before draining, and capped exponential backoff actually retries. Airplane-mode verification still needs a real device.</t>
        </is>
      </c>
    </row>
    <row r="16" ht="72" customHeight="1">
      <c r="A16" s="23" t="inlineStr">
        <is>
          <t>N-08</t>
        </is>
      </c>
      <c r="B16" s="24" t="inlineStr">
        <is>
          <t>M2</t>
        </is>
      </c>
      <c r="C16" s="24" t="inlineStr">
        <is>
          <t>Week 1</t>
        </is>
      </c>
      <c r="D16" s="24" t="inlineStr">
        <is>
          <t>HealthKit bridge messages (permission, status, query, goals)</t>
        </is>
      </c>
      <c r="E16" s="24" t="inlineStr">
        <is>
          <t>Native</t>
        </is>
      </c>
      <c r="F16" s="24" t="n">
        <v>2</v>
      </c>
      <c r="G16" s="24" t="n"/>
      <c r="H16" s="24" t="inlineStr">
        <is>
          <t>Done</t>
        </is>
      </c>
      <c r="I16" s="24" t="inlineStr">
        <is>
          <t>Web can request permission and read metrics through the bridge</t>
        </is>
      </c>
      <c r="J16" s="24" t="inlineStr">
        <is>
          <t>native + Lovable commit 9c13bdf7e6cf5057717d0eaf671519c354790f85</t>
        </is>
      </c>
      <c r="K16" s="24" t="inlineStr">
        <is>
          <t>Native and Lovable code use the v2 payload contract; Lovable typecheck, 91 tests and production build passed. Public production bundle checked Sep 15 still lacks bridge v2, so the Lovable change is not deployed.</t>
        </is>
      </c>
    </row>
    <row r="17" ht="32" customHeight="1">
      <c r="A17" s="21" t="inlineStr">
        <is>
          <t>N-09</t>
        </is>
      </c>
      <c r="B17" s="22" t="inlineStr">
        <is>
          <t>M2</t>
        </is>
      </c>
      <c r="C17" s="22" t="inlineStr">
        <is>
          <t>Week 2</t>
        </is>
      </c>
      <c r="D17" s="22" t="inlineStr">
        <is>
          <t>Background delivery — observer queries, hourly frequency</t>
        </is>
      </c>
      <c r="E17" s="22" t="inlineStr">
        <is>
          <t>Native</t>
        </is>
      </c>
      <c r="F17" s="22" t="n">
        <v>7</v>
      </c>
      <c r="G17" s="22" t="n"/>
      <c r="H17" s="22" t="inlineStr">
        <is>
          <t>In progress</t>
        </is>
      </c>
      <c r="I17" s="22" t="inlineStr">
        <is>
          <t>App syncs while backgrounded without being opened</t>
        </is>
      </c>
      <c r="J17" s="22" t="inlineStr">
        <is>
          <t>ios/Honoured/HealthBackgroundObserver.swift, HonouredAppDelegate.swift, HealthSyncCoordinator.swift · typecheck + simulator build Sep 15 · docs/bridge.md "Background sync"</t>
        </is>
      </c>
      <c r="K17" s="22" t="inlineStr">
        <is>
          <t>Code complete. HKObserverQuery per metric registered synchronously in didFinishLaunching; enableBackgroundDelivery(.hourly) idempotent per metric, disabled on CLEAR_AUTH_SESSION. Collection (anchored read → offline queue → anchor commit) is separated from upload, so the HealthKit completion handler never waits on network retries; background wakes attempt one upload only. Pending-signal marker survives process suspension and is retried on foreground / protected-data availability. Real-device verification (wake while backgrounded, first-unlock deferral) needs Apple capability + signing.</t>
        </is>
      </c>
    </row>
    <row r="18" ht="32" customHeight="1">
      <c r="A18" s="23" t="inlineStr">
        <is>
          <t>N-10</t>
        </is>
      </c>
      <c r="B18" s="24" t="inlineStr">
        <is>
          <t>M2</t>
        </is>
      </c>
      <c r="C18" s="24" t="inlineStr">
        <is>
          <t>Week 2</t>
        </is>
      </c>
      <c r="D18" s="24" t="inlineStr">
        <is>
          <t>BGTaskScheduler fallback path</t>
        </is>
      </c>
      <c r="E18" s="24" t="inlineStr">
        <is>
          <t>Native</t>
        </is>
      </c>
      <c r="F18" s="24" t="n">
        <v>4</v>
      </c>
      <c r="G18" s="24" t="n"/>
      <c r="H18" s="24" t="inlineStr">
        <is>
          <t>Not started</t>
        </is>
      </c>
      <c r="I18" s="24" t="inlineStr">
        <is>
          <t>Scheduled refresh runs when the observer does not fire</t>
        </is>
      </c>
      <c r="J18" s="24" t="inlineStr"/>
      <c r="K18" s="24" t="inlineStr"/>
    </row>
    <row r="19" ht="32" customHeight="1">
      <c r="A19" s="21" t="inlineStr">
        <is>
          <t>N-11</t>
        </is>
      </c>
      <c r="B19" s="22" t="inlineStr">
        <is>
          <t>M2</t>
        </is>
      </c>
      <c r="C19" s="22" t="inlineStr">
        <is>
          <t>Week 2</t>
        </is>
      </c>
      <c r="D19" s="22" t="inlineStr">
        <is>
          <t>Notification infrastructure and permission timing</t>
        </is>
      </c>
      <c r="E19" s="22" t="inlineStr">
        <is>
          <t>Native</t>
        </is>
      </c>
      <c r="F19" s="22" t="n">
        <v>4</v>
      </c>
      <c r="G19" s="22" t="n"/>
      <c r="H19" s="22" t="inlineStr">
        <is>
          <t>Not started</t>
        </is>
      </c>
      <c r="I19" s="22" t="inlineStr">
        <is>
          <t>Permission is asked on first timer use, not at app launch</t>
        </is>
      </c>
      <c r="J19" s="22" t="inlineStr"/>
      <c r="K19" s="22" t="inlineStr"/>
    </row>
    <row r="20" ht="32" customHeight="1">
      <c r="A20" s="23" t="inlineStr">
        <is>
          <t>N-12</t>
        </is>
      </c>
      <c r="B20" s="24" t="inlineStr">
        <is>
          <t>M2</t>
        </is>
      </c>
      <c r="C20" s="24" t="inlineStr">
        <is>
          <t>Week 2</t>
        </is>
      </c>
      <c r="D20" s="24" t="inlineStr">
        <is>
          <t>Native Testament Timer — schedule and cancel</t>
        </is>
      </c>
      <c r="E20" s="24" t="inlineStr">
        <is>
          <t>Native</t>
        </is>
      </c>
      <c r="F20" s="24" t="n">
        <v>8</v>
      </c>
      <c r="G20" s="24" t="n"/>
      <c r="H20" s="24" t="inlineStr">
        <is>
          <t>Not started</t>
        </is>
      </c>
      <c r="I20" s="24" t="inlineStr">
        <is>
          <t>Countdown survives backgrounding; cancelling removes the pending notification</t>
        </is>
      </c>
      <c r="J20" s="24" t="inlineStr"/>
      <c r="K20" s="24" t="inlineStr"/>
    </row>
    <row r="21" ht="32" customHeight="1">
      <c r="A21" s="21" t="inlineStr">
        <is>
          <t>N-13</t>
        </is>
      </c>
      <c r="B21" s="22" t="inlineStr">
        <is>
          <t>M2</t>
        </is>
      </c>
      <c r="C21" s="22" t="inlineStr">
        <is>
          <t>Week 2</t>
        </is>
      </c>
      <c r="D21" s="22" t="inlineStr">
        <is>
          <t>Background goal detection, once per activity per day</t>
        </is>
      </c>
      <c r="E21" s="22" t="inlineStr">
        <is>
          <t>Native</t>
        </is>
      </c>
      <c r="F21" s="22" t="n">
        <v>8</v>
      </c>
      <c r="G21" s="22" t="n"/>
      <c r="H21" s="22" t="inlineStr">
        <is>
          <t>Not started</t>
        </is>
      </c>
      <c r="I21" s="22" t="inlineStr">
        <is>
          <t>Crossing a goal while backgrounded notifies exactly once</t>
        </is>
      </c>
      <c r="J21" s="22" t="inlineStr"/>
      <c r="K21" s="22" t="inlineStr"/>
    </row>
    <row r="22" ht="32" customHeight="1">
      <c r="A22" s="23" t="inlineStr">
        <is>
          <t>N-14</t>
        </is>
      </c>
      <c r="B22" s="24" t="inlineStr">
        <is>
          <t>M2</t>
        </is>
      </c>
      <c r="C22" s="24" t="inlineStr">
        <is>
          <t>Week 2</t>
        </is>
      </c>
      <c r="D22" s="24" t="inlineStr">
        <is>
          <t>Notification deep link into the completed activity</t>
        </is>
      </c>
      <c r="E22" s="24" t="inlineStr">
        <is>
          <t>Native</t>
        </is>
      </c>
      <c r="F22" s="24" t="n">
        <v>3</v>
      </c>
      <c r="G22" s="24" t="n"/>
      <c r="H22" s="24" t="inlineStr">
        <is>
          <t>Not started</t>
        </is>
      </c>
      <c r="I22" s="24" t="inlineStr">
        <is>
          <t>Tapping the notification opens the right activity, including from cold start</t>
        </is>
      </c>
      <c r="J22" s="24" t="inlineStr"/>
      <c r="K22" s="24" t="inlineStr"/>
    </row>
    <row r="23" ht="32" customHeight="1">
      <c r="A23" s="21" t="inlineStr">
        <is>
          <t>N-15</t>
        </is>
      </c>
      <c r="B23" s="22" t="inlineStr">
        <is>
          <t>M2</t>
        </is>
      </c>
      <c r="C23" s="22" t="inlineStr">
        <is>
          <t>Week 2</t>
        </is>
      </c>
      <c r="D23" s="22" t="inlineStr">
        <is>
          <t>Gong sound, silent-switch respected, settings toggle</t>
        </is>
      </c>
      <c r="E23" s="22" t="inlineStr">
        <is>
          <t>Native</t>
        </is>
      </c>
      <c r="F23" s="22" t="n">
        <v>6</v>
      </c>
      <c r="G23" s="22" t="n"/>
      <c r="H23" s="22" t="inlineStr">
        <is>
          <t>Not started</t>
        </is>
      </c>
      <c r="I23" s="22" t="inlineStr">
        <is>
          <t>Silent mode stays silent; the setting defaults to off</t>
        </is>
      </c>
      <c r="J23" s="22" t="inlineStr"/>
      <c r="K23" s="22" t="inlineStr"/>
    </row>
    <row r="24" ht="32" customHeight="1">
      <c r="A24" s="23" t="inlineStr">
        <is>
          <t>N-16</t>
        </is>
      </c>
      <c r="B24" s="24" t="inlineStr">
        <is>
          <t>M2</t>
        </is>
      </c>
      <c r="C24" s="24" t="inlineStr">
        <is>
          <t>Week 2</t>
        </is>
      </c>
      <c r="D24" s="24" t="inlineStr">
        <is>
          <t>Sign in with Apple — nonce, token hand-off to Supabase</t>
        </is>
      </c>
      <c r="E24" s="24" t="inlineStr">
        <is>
          <t>Native</t>
        </is>
      </c>
      <c r="F24" s="24" t="n">
        <v>10</v>
      </c>
      <c r="G24" s="24" t="n"/>
      <c r="H24" s="24" t="inlineStr">
        <is>
          <t>Not started</t>
        </is>
      </c>
      <c r="I24" s="24" t="inlineStr">
        <is>
          <t>Linking from an anonymous account keeps all previously synced data</t>
        </is>
      </c>
      <c r="J24" s="24" t="inlineStr"/>
      <c r="K24" s="24" t="inlineStr"/>
    </row>
    <row r="25" ht="32" customHeight="1">
      <c r="A25" s="21" t="inlineStr">
        <is>
          <t>N-17</t>
        </is>
      </c>
      <c r="B25" s="22" t="inlineStr">
        <is>
          <t>M2</t>
        </is>
      </c>
      <c r="C25" s="22" t="inlineStr">
        <is>
          <t>Week 3</t>
        </is>
      </c>
      <c r="D25" s="22" t="inlineStr">
        <is>
          <t>QA — HealthKit permission matrix</t>
        </is>
      </c>
      <c r="E25" s="22" t="inlineStr">
        <is>
          <t>QA</t>
        </is>
      </c>
      <c r="F25" s="22" t="n">
        <v>8</v>
      </c>
      <c r="G25" s="22" t="n"/>
      <c r="H25" s="22" t="inlineStr">
        <is>
          <t>Not started</t>
        </is>
      </c>
      <c r="I25" s="22" t="inlineStr">
        <is>
          <t>Denied, partial, revoked and no-data devices all behave sensibly</t>
        </is>
      </c>
      <c r="J25" s="22" t="inlineStr"/>
      <c r="K25" s="22" t="inlineStr"/>
    </row>
    <row r="26" ht="32" customHeight="1">
      <c r="A26" s="23" t="inlineStr">
        <is>
          <t>N-18</t>
        </is>
      </c>
      <c r="B26" s="24" t="inlineStr">
        <is>
          <t>M2</t>
        </is>
      </c>
      <c r="C26" s="24" t="inlineStr">
        <is>
          <t>Week 3</t>
        </is>
      </c>
      <c r="D26" s="24" t="inlineStr">
        <is>
          <t>QA — background, offline, timezone and midnight edge cases</t>
        </is>
      </c>
      <c r="E26" s="24" t="inlineStr">
        <is>
          <t>QA</t>
        </is>
      </c>
      <c r="F26" s="24" t="n">
        <v>8</v>
      </c>
      <c r="G26" s="24" t="n"/>
      <c r="H26" s="24" t="inlineStr">
        <is>
          <t>Not started</t>
        </is>
      </c>
      <c r="I26" s="24" t="inlineStr">
        <is>
          <t>No data loss or duplication across the tested scenarios</t>
        </is>
      </c>
      <c r="J26" s="24" t="inlineStr"/>
      <c r="K26" s="24" t="inlineStr"/>
    </row>
    <row r="27" ht="32" customHeight="1">
      <c r="A27" s="21" t="inlineStr">
        <is>
          <t>N-19</t>
        </is>
      </c>
      <c r="B27" s="22" t="inlineStr">
        <is>
          <t>M2</t>
        </is>
      </c>
      <c r="C27" s="22" t="inlineStr">
        <is>
          <t>Week 3</t>
        </is>
      </c>
      <c r="D27" s="22" t="inlineStr">
        <is>
          <t>Bug fixes arising from QA</t>
        </is>
      </c>
      <c r="E27" s="22" t="inlineStr">
        <is>
          <t>Native</t>
        </is>
      </c>
      <c r="F27" s="22" t="n">
        <v>10</v>
      </c>
      <c r="G27" s="22" t="n"/>
      <c r="H27" s="22" t="inlineStr">
        <is>
          <t>Not started</t>
        </is>
      </c>
      <c r="I27" s="22" t="inlineStr">
        <is>
          <t>No known blocker defects remain</t>
        </is>
      </c>
      <c r="J27" s="22" t="inlineStr"/>
      <c r="K27" s="22" t="inlineStr"/>
    </row>
    <row r="28" ht="32" customHeight="1">
      <c r="A28" s="23" t="inlineStr">
        <is>
          <t>N-20</t>
        </is>
      </c>
      <c r="B28" s="24" t="inlineStr">
        <is>
          <t>M2</t>
        </is>
      </c>
      <c r="C28" s="24" t="inlineStr">
        <is>
          <t>Week 3</t>
        </is>
      </c>
      <c r="D28" s="24" t="inlineStr">
        <is>
          <t>App Store prep — privacy labels, policy, HealthKit review notes</t>
        </is>
      </c>
      <c r="E28" s="24" t="inlineStr">
        <is>
          <t>Ops</t>
        </is>
      </c>
      <c r="F28" s="24" t="n">
        <v>5</v>
      </c>
      <c r="G28" s="24" t="n"/>
      <c r="H28" s="24" t="inlineStr">
        <is>
          <t>Not started</t>
        </is>
      </c>
      <c r="I28" s="24" t="inlineStr">
        <is>
          <t>Privacy nutrition label and policy published before submission</t>
        </is>
      </c>
      <c r="J28" s="24" t="inlineStr"/>
      <c r="K28" s="24" t="inlineStr"/>
    </row>
    <row r="29" ht="32" customHeight="1">
      <c r="A29" s="21" t="inlineStr">
        <is>
          <t>N-21</t>
        </is>
      </c>
      <c r="B29" s="22" t="inlineStr">
        <is>
          <t>M2</t>
        </is>
      </c>
      <c r="C29" s="22" t="inlineStr">
        <is>
          <t>Week 3</t>
        </is>
      </c>
      <c r="D29" s="22" t="inlineStr">
        <is>
          <t>TestFlight build and device smoke test</t>
        </is>
      </c>
      <c r="E29" s="22" t="inlineStr">
        <is>
          <t>QA</t>
        </is>
      </c>
      <c r="F29" s="22" t="n">
        <v>4</v>
      </c>
      <c r="G29" s="22" t="n"/>
      <c r="H29" s="22" t="inlineStr">
        <is>
          <t>Not started</t>
        </is>
      </c>
      <c r="I29" s="22" t="inlineStr">
        <is>
          <t>Client can install the build from TestFlight</t>
        </is>
      </c>
      <c r="J29" s="22" t="inlineStr"/>
      <c r="K29" s="22" t="inlineStr"/>
    </row>
    <row r="30" ht="32" customHeight="1">
      <c r="A30" s="23" t="inlineStr">
        <is>
          <t>N-22</t>
        </is>
      </c>
      <c r="B30" s="24" t="inlineStr">
        <is>
          <t>M2</t>
        </is>
      </c>
      <c r="C30" s="24" t="inlineStr">
        <is>
          <t>Week 3</t>
        </is>
      </c>
      <c r="D30" s="24" t="inlineStr">
        <is>
          <t>App Store submission and review responses</t>
        </is>
      </c>
      <c r="E30" s="24" t="inlineStr">
        <is>
          <t>Ops</t>
        </is>
      </c>
      <c r="F30" s="24" t="n">
        <v>5</v>
      </c>
      <c r="G30" s="24" t="n"/>
      <c r="H30" s="24" t="inlineStr">
        <is>
          <t>Not started</t>
        </is>
      </c>
      <c r="I30" s="24" t="inlineStr">
        <is>
          <t>Build submitted; review feedback answered</t>
        </is>
      </c>
      <c r="J30" s="24" t="inlineStr"/>
      <c r="K30" s="24" t="inlineStr"/>
    </row>
    <row r="31" ht="32" customHeight="1">
      <c r="A31" s="21" t="inlineStr">
        <is>
          <t>N-23</t>
        </is>
      </c>
      <c r="B31" s="22" t="inlineStr">
        <is>
          <t>M3</t>
        </is>
      </c>
      <c r="C31" s="22" t="inlineStr">
        <is>
          <t>Week 4</t>
        </is>
      </c>
      <c r="D31" s="22" t="inlineStr">
        <is>
          <t>Widget Extension target + App Group</t>
        </is>
      </c>
      <c r="E31" s="22" t="inlineStr">
        <is>
          <t>Native</t>
        </is>
      </c>
      <c r="F31" s="22" t="n">
        <v>6</v>
      </c>
      <c r="G31" s="22" t="n"/>
      <c r="H31" s="22" t="inlineStr">
        <is>
          <t>Not started</t>
        </is>
      </c>
      <c r="I31" s="22" t="inlineStr">
        <is>
          <t>Extension builds and shares state with the app</t>
        </is>
      </c>
      <c r="J31" s="22" t="inlineStr"/>
      <c r="K31" s="22" t="inlineStr"/>
    </row>
    <row r="32" ht="32" customHeight="1">
      <c r="A32" s="23" t="inlineStr">
        <is>
          <t>N-24</t>
        </is>
      </c>
      <c r="B32" s="24" t="inlineStr">
        <is>
          <t>M3</t>
        </is>
      </c>
      <c r="C32" s="24" t="inlineStr">
        <is>
          <t>Week 4</t>
        </is>
      </c>
      <c r="D32" s="24" t="inlineStr">
        <is>
          <t>Live Activity UI — compact, minimal and expanded states</t>
        </is>
      </c>
      <c r="E32" s="24" t="inlineStr">
        <is>
          <t>Native</t>
        </is>
      </c>
      <c r="F32" s="24" t="n">
        <v>8</v>
      </c>
      <c r="G32" s="24" t="n"/>
      <c r="H32" s="24" t="inlineStr">
        <is>
          <t>Not started</t>
        </is>
      </c>
      <c r="I32" s="24" t="inlineStr">
        <is>
          <t>All four presentations render correctly on a real device</t>
        </is>
      </c>
      <c r="J32" s="24" t="inlineStr"/>
      <c r="K32" s="24" t="inlineStr"/>
    </row>
    <row r="33" ht="32" customHeight="1">
      <c r="A33" s="21" t="inlineStr">
        <is>
          <t>N-25</t>
        </is>
      </c>
      <c r="B33" s="22" t="inlineStr">
        <is>
          <t>M3</t>
        </is>
      </c>
      <c r="C33" s="22" t="inlineStr">
        <is>
          <t>Week 4</t>
        </is>
      </c>
      <c r="D33" s="22" t="inlineStr">
        <is>
          <t>Live Activity lifecycle — start, update, end</t>
        </is>
      </c>
      <c r="E33" s="22" t="inlineStr">
        <is>
          <t>Native</t>
        </is>
      </c>
      <c r="F33" s="22" t="n">
        <v>6</v>
      </c>
      <c r="G33" s="22" t="n"/>
      <c r="H33" s="22" t="inlineStr">
        <is>
          <t>Not started</t>
        </is>
      </c>
      <c r="I33" s="22" t="inlineStr">
        <is>
          <t>Activity starts with the timer and clears itself after completion</t>
        </is>
      </c>
      <c r="J33" s="22" t="inlineStr"/>
      <c r="K33" s="22" t="inlineStr"/>
    </row>
    <row r="34" ht="32" customHeight="1">
      <c r="A34" s="23" t="inlineStr">
        <is>
          <t>N-26</t>
        </is>
      </c>
      <c r="B34" s="24" t="inlineStr">
        <is>
          <t>M3</t>
        </is>
      </c>
      <c r="C34" s="24" t="inlineStr">
        <is>
          <t>Week 5</t>
        </is>
      </c>
      <c r="D34" s="24" t="inlineStr">
        <is>
          <t>Three-blink completion effect</t>
        </is>
      </c>
      <c r="E34" s="24" t="inlineStr">
        <is>
          <t>Native</t>
        </is>
      </c>
      <c r="F34" s="24" t="n">
        <v>4</v>
      </c>
      <c r="G34" s="24" t="n"/>
      <c r="H34" s="24" t="inlineStr">
        <is>
          <t>Not started</t>
        </is>
      </c>
      <c r="I34" s="24" t="inlineStr">
        <is>
          <t>Logo blinks three times on completion, within ActivityKit update limits</t>
        </is>
      </c>
      <c r="J34" s="24" t="inlineStr"/>
      <c r="K34" s="24" t="inlineStr"/>
    </row>
    <row r="35" ht="32" customHeight="1">
      <c r="A35" s="21" t="inlineStr">
        <is>
          <t>N-27</t>
        </is>
      </c>
      <c r="B35" s="22" t="inlineStr">
        <is>
          <t>M3</t>
        </is>
      </c>
      <c r="C35" s="22" t="inlineStr">
        <is>
          <t>Week 5</t>
        </is>
      </c>
      <c r="D35" s="22" t="inlineStr">
        <is>
          <t>Hook Live Activity to HealthKit goal completion</t>
        </is>
      </c>
      <c r="E35" s="22" t="inlineStr">
        <is>
          <t>Native</t>
        </is>
      </c>
      <c r="F35" s="22" t="n">
        <v>4</v>
      </c>
      <c r="G35" s="22" t="n"/>
      <c r="H35" s="22" t="inlineStr">
        <is>
          <t>Not started</t>
        </is>
      </c>
      <c r="I35" s="22" t="inlineStr">
        <is>
          <t>Reaching a HealthKit goal triggers the same celebration as the timer</t>
        </is>
      </c>
      <c r="J35" s="22" t="inlineStr"/>
      <c r="K35" s="22" t="inlineStr"/>
    </row>
    <row r="36" ht="32" customHeight="1">
      <c r="A36" s="23" t="inlineStr">
        <is>
          <t>N-28</t>
        </is>
      </c>
      <c r="B36" s="24" t="inlineStr">
        <is>
          <t>M3</t>
        </is>
      </c>
      <c r="C36" s="24" t="inlineStr">
        <is>
          <t>Week 5</t>
        </is>
      </c>
      <c r="D36" s="24" t="inlineStr">
        <is>
          <t>Google Sign-In alongside Apple</t>
        </is>
      </c>
      <c r="E36" s="24" t="inlineStr">
        <is>
          <t>Native</t>
        </is>
      </c>
      <c r="F36" s="24" t="n">
        <v>8</v>
      </c>
      <c r="G36" s="24" t="n"/>
      <c r="H36" s="24" t="inlineStr">
        <is>
          <t>Not started</t>
        </is>
      </c>
      <c r="I36" s="24" t="inlineStr">
        <is>
          <t>Google sign-in works and does not break the Apple flow</t>
        </is>
      </c>
      <c r="J36" s="24" t="inlineStr"/>
      <c r="K36" s="24" t="inlineStr"/>
    </row>
    <row r="37" ht="32" customHeight="1">
      <c r="A37" s="21" t="inlineStr">
        <is>
          <t>N-29</t>
        </is>
      </c>
      <c r="B37" s="22" t="inlineStr">
        <is>
          <t>M3</t>
        </is>
      </c>
      <c r="C37" s="22" t="inlineStr">
        <is>
          <t>Week 5</t>
        </is>
      </c>
      <c r="D37" s="22" t="inlineStr">
        <is>
          <t>QA and submit the update</t>
        </is>
      </c>
      <c r="E37" s="22" t="inlineStr">
        <is>
          <t>QA</t>
        </is>
      </c>
      <c r="F37" s="22" t="n">
        <v>4</v>
      </c>
      <c r="G37" s="22" t="n"/>
      <c r="H37" s="22" t="inlineStr">
        <is>
          <t>Not started</t>
        </is>
      </c>
      <c r="I37" s="22" t="inlineStr">
        <is>
          <t>Update submitted to the App Store</t>
        </is>
      </c>
      <c r="J37" s="22" t="inlineStr"/>
      <c r="K37" s="22" t="inlineStr"/>
    </row>
    <row r="38">
      <c r="A38" s="10" t="n"/>
      <c r="B38" s="10" t="n"/>
      <c r="C38" s="10" t="n"/>
      <c r="D38" s="9" t="inlineStr">
        <is>
          <t>Total</t>
        </is>
      </c>
      <c r="E38" s="10" t="n"/>
      <c r="F38" s="9">
        <f>SUM(F5:F37)</f>
        <v/>
      </c>
      <c r="G38" s="9">
        <f>SUM(G5:G37)</f>
        <v/>
      </c>
      <c r="H38" s="10" t="n"/>
      <c r="I38" s="10" t="n"/>
      <c r="J38" s="10" t="n"/>
      <c r="K38" s="10" t="n"/>
    </row>
  </sheetData>
  <conditionalFormatting sqref="H5:H3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"Deferred"</formula>
    </cfRule>
  </conditionalFormatting>
  <dataValidations count="1">
    <dataValidation sqref="H5:H37" showDropDown="0" showInputMessage="0" showErrorMessage="0" allowBlank="1" type="list">
      <formula1>"Not started,In progress,Done,Blocked,Deferred"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44" customWidth="1" min="4" max="4"/>
    <col width="30" customWidth="1" min="5" max="5"/>
    <col width="34" customWidth="1" min="6" max="6"/>
  </cols>
  <sheetData>
    <row r="1">
      <c r="A1" s="20" t="inlineStr">
        <is>
          <t>Build Screenshots</t>
        </is>
      </c>
    </row>
    <row r="2">
      <c r="A2" s="2" t="inlineStr">
        <is>
          <t>One entry per screenshot or screen recording, dated and tagged to the task it belongs to.</t>
        </is>
      </c>
    </row>
    <row r="4" ht="28" customHeight="1">
      <c r="A4" s="4" t="inlineStr">
        <is>
          <t>Date</t>
        </is>
      </c>
      <c r="B4" s="4" t="inlineStr">
        <is>
          <t>Week</t>
        </is>
      </c>
      <c r="C4" s="4" t="inlineStr">
        <is>
          <t>Task ID</t>
        </is>
      </c>
      <c r="D4" s="4" t="inlineStr">
        <is>
          <t>What it shows</t>
        </is>
      </c>
      <c r="E4" s="4" t="inlineStr">
        <is>
          <t>Preview</t>
        </is>
      </c>
      <c r="F4" s="4" t="inlineStr">
        <is>
          <t>Link</t>
        </is>
      </c>
    </row>
    <row r="5" ht="330" customHeight="1">
      <c r="A5" s="22" t="inlineStr">
        <is>
          <t>Sep 13</t>
        </is>
      </c>
      <c r="B5" s="22" t="inlineStr">
        <is>
          <t>Week 1</t>
        </is>
      </c>
      <c r="C5" s="22" t="inlineStr">
        <is>
          <t>N-02</t>
        </is>
      </c>
      <c r="D5" s="22" t="inlineStr">
        <is>
          <t>App shell running on the iPhone 17 Pro simulator after the HealthKit entitlements, Info.plist and bridge v2 changes. The web app renders normally — no error state.</t>
        </is>
      </c>
      <c r="E5" s="22" t="n"/>
      <c r="F5" s="22" t="inlineStr"/>
    </row>
    <row r="6" ht="120" customHeight="1">
      <c r="A6" s="24" t="n"/>
      <c r="B6" s="24" t="n"/>
      <c r="C6" s="24" t="n"/>
      <c r="D6" s="24" t="n"/>
      <c r="E6" s="24" t="n"/>
      <c r="F6" s="24" t="n"/>
    </row>
    <row r="7" ht="120" customHeight="1">
      <c r="A7" s="22" t="n"/>
      <c r="B7" s="22" t="n"/>
      <c r="C7" s="22" t="n"/>
      <c r="D7" s="22" t="n"/>
      <c r="E7" s="22" t="n"/>
      <c r="F7" s="22" t="n"/>
    </row>
    <row r="8" ht="120" customHeight="1">
      <c r="A8" s="24" t="n"/>
      <c r="B8" s="24" t="n"/>
      <c r="C8" s="24" t="n"/>
      <c r="D8" s="24" t="n"/>
      <c r="E8" s="24" t="n"/>
      <c r="F8" s="24" t="n"/>
    </row>
    <row r="9" ht="120" customHeight="1">
      <c r="A9" s="22" t="n"/>
      <c r="B9" s="22" t="n"/>
      <c r="C9" s="22" t="n"/>
      <c r="D9" s="22" t="n"/>
      <c r="E9" s="22" t="n"/>
      <c r="F9" s="22" t="n"/>
    </row>
    <row r="10" ht="120" customHeight="1">
      <c r="A10" s="24" t="n"/>
      <c r="B10" s="24" t="n"/>
      <c r="C10" s="24" t="n"/>
      <c r="D10" s="24" t="n"/>
      <c r="E10" s="24" t="n"/>
      <c r="F10" s="24" t="n"/>
    </row>
    <row r="11" ht="120" customHeight="1">
      <c r="A11" s="22" t="n"/>
      <c r="B11" s="22" t="n"/>
      <c r="C11" s="22" t="n"/>
      <c r="D11" s="22" t="n"/>
      <c r="E11" s="22" t="n"/>
      <c r="F11" s="22" t="n"/>
    </row>
    <row r="12" ht="120" customHeight="1">
      <c r="A12" s="24" t="n"/>
      <c r="B12" s="24" t="n"/>
      <c r="C12" s="24" t="n"/>
      <c r="D12" s="24" t="n"/>
      <c r="E12" s="24" t="n"/>
      <c r="F12" s="24" t="n"/>
    </row>
    <row r="13" ht="120" customHeight="1">
      <c r="A13" s="22" t="n"/>
      <c r="B13" s="22" t="n"/>
      <c r="C13" s="22" t="n"/>
      <c r="D13" s="22" t="n"/>
      <c r="E13" s="22" t="n"/>
      <c r="F13" s="22" t="n"/>
    </row>
    <row r="14" ht="120" customHeight="1">
      <c r="A14" s="24" t="n"/>
      <c r="B14" s="24" t="n"/>
      <c r="C14" s="24" t="n"/>
      <c r="D14" s="24" t="n"/>
      <c r="E14" s="24" t="n"/>
      <c r="F14" s="24" t="n"/>
    </row>
    <row r="15" ht="120" customHeight="1">
      <c r="A15" s="22" t="n"/>
      <c r="B15" s="22" t="n"/>
      <c r="C15" s="22" t="n"/>
      <c r="D15" s="22" t="n"/>
      <c r="E15" s="22" t="n"/>
      <c r="F15" s="22" t="n"/>
    </row>
    <row r="16" ht="120" customHeight="1">
      <c r="A16" s="24" t="n"/>
      <c r="B16" s="24" t="n"/>
      <c r="C16" s="24" t="n"/>
      <c r="D16" s="24" t="n"/>
      <c r="E16" s="24" t="n"/>
      <c r="F16" s="24" t="n"/>
    </row>
    <row r="17" ht="120" customHeight="1">
      <c r="A17" s="22" t="n"/>
      <c r="B17" s="22" t="n"/>
      <c r="C17" s="22" t="n"/>
      <c r="D17" s="22" t="n"/>
      <c r="E17" s="22" t="n"/>
      <c r="F17" s="22" t="n"/>
    </row>
    <row r="18" ht="120" customHeight="1">
      <c r="A18" s="24" t="n"/>
      <c r="B18" s="24" t="n"/>
      <c r="C18" s="24" t="n"/>
      <c r="D18" s="24" t="n"/>
      <c r="E18" s="24" t="n"/>
      <c r="F18" s="24" t="n"/>
    </row>
    <row r="19" ht="120" customHeight="1">
      <c r="A19" s="22" t="n"/>
      <c r="B19" s="22" t="n"/>
      <c r="C19" s="22" t="n"/>
      <c r="D19" s="22" t="n"/>
      <c r="E19" s="22" t="n"/>
      <c r="F19" s="22" t="n"/>
    </row>
    <row r="20" ht="120" customHeight="1">
      <c r="A20" s="24" t="n"/>
      <c r="B20" s="24" t="n"/>
      <c r="C20" s="24" t="n"/>
      <c r="D20" s="24" t="n"/>
      <c r="E20" s="24" t="n"/>
      <c r="F20" s="24" t="n"/>
    </row>
    <row r="21" ht="120" customHeight="1">
      <c r="A21" s="22" t="n"/>
      <c r="B21" s="22" t="n"/>
      <c r="C21" s="22" t="n"/>
      <c r="D21" s="22" t="n"/>
      <c r="E21" s="22" t="n"/>
      <c r="F21" s="22" t="n"/>
    </row>
    <row r="22" ht="120" customHeight="1">
      <c r="A22" s="24" t="n"/>
      <c r="B22" s="24" t="n"/>
      <c r="C22" s="24" t="n"/>
      <c r="D22" s="24" t="n"/>
      <c r="E22" s="24" t="n"/>
      <c r="F22" s="24" t="n"/>
    </row>
    <row r="23" ht="120" customHeight="1">
      <c r="A23" s="22" t="n"/>
      <c r="B23" s="22" t="n"/>
      <c r="C23" s="22" t="n"/>
      <c r="D23" s="22" t="n"/>
      <c r="E23" s="22" t="n"/>
      <c r="F23" s="22" t="n"/>
    </row>
    <row r="24" ht="120" customHeight="1">
      <c r="A24" s="24" t="n"/>
      <c r="B24" s="24" t="n"/>
      <c r="C24" s="24" t="n"/>
      <c r="D24" s="24" t="n"/>
      <c r="E24" s="24" t="n"/>
      <c r="F24" s="24" t="n"/>
    </row>
    <row r="25" ht="120" customHeight="1">
      <c r="A25" s="22" t="n"/>
      <c r="B25" s="22" t="n"/>
      <c r="C25" s="22" t="n"/>
      <c r="D25" s="22" t="n"/>
      <c r="E25" s="22" t="n"/>
      <c r="F25" s="22" t="n"/>
    </row>
    <row r="26" ht="120" customHeight="1">
      <c r="A26" s="24" t="n"/>
      <c r="B26" s="24" t="n"/>
      <c r="C26" s="24" t="n"/>
      <c r="D26" s="24" t="n"/>
      <c r="E26" s="24" t="n"/>
      <c r="F26" s="24" t="n"/>
    </row>
    <row r="27" ht="120" customHeight="1">
      <c r="A27" s="22" t="n"/>
      <c r="B27" s="22" t="n"/>
      <c r="C27" s="22" t="n"/>
      <c r="D27" s="22" t="n"/>
      <c r="E27" s="22" t="n"/>
      <c r="F27" s="22" t="n"/>
    </row>
    <row r="28" ht="120" customHeight="1">
      <c r="A28" s="24" t="n"/>
      <c r="B28" s="24" t="n"/>
      <c r="C28" s="24" t="n"/>
      <c r="D28" s="24" t="n"/>
      <c r="E28" s="24" t="n"/>
      <c r="F28" s="24" t="n"/>
    </row>
    <row r="29" ht="120" customHeight="1">
      <c r="A29" s="22" t="n"/>
      <c r="B29" s="22" t="n"/>
      <c r="C29" s="22" t="n"/>
      <c r="D29" s="22" t="n"/>
      <c r="E29" s="22" t="n"/>
      <c r="F29" s="22" t="n"/>
    </row>
    <row r="30" ht="120" customHeight="1">
      <c r="A30" s="24" t="n"/>
      <c r="B30" s="24" t="n"/>
      <c r="C30" s="24" t="n"/>
      <c r="D30" s="24" t="n"/>
      <c r="E30" s="24" t="n"/>
      <c r="F30" s="24" t="n"/>
    </row>
    <row r="31" ht="120" customHeight="1">
      <c r="A31" s="22" t="n"/>
      <c r="B31" s="22" t="n"/>
      <c r="C31" s="22" t="n"/>
      <c r="D31" s="22" t="n"/>
      <c r="E31" s="22" t="n"/>
      <c r="F31" s="22" t="n"/>
    </row>
    <row r="32" ht="120" customHeight="1">
      <c r="A32" s="24" t="n"/>
      <c r="B32" s="24" t="n"/>
      <c r="C32" s="24" t="n"/>
      <c r="D32" s="24" t="n"/>
      <c r="E32" s="24" t="n"/>
      <c r="F32" s="24" t="n"/>
    </row>
    <row r="33" ht="120" customHeight="1">
      <c r="A33" s="22" t="n"/>
      <c r="B33" s="22" t="n"/>
      <c r="C33" s="22" t="n"/>
      <c r="D33" s="22" t="n"/>
      <c r="E33" s="22" t="n"/>
      <c r="F33" s="22" t="n"/>
    </row>
    <row r="34" ht="120" customHeight="1">
      <c r="A34" s="24" t="n"/>
      <c r="B34" s="24" t="n"/>
      <c r="C34" s="24" t="n"/>
      <c r="D34" s="24" t="n"/>
      <c r="E34" s="24" t="n"/>
      <c r="F34" s="24" t="n"/>
    </row>
    <row r="35" ht="120" customHeight="1">
      <c r="A35" s="22" t="n"/>
      <c r="B35" s="22" t="n"/>
      <c r="C35" s="22" t="n"/>
      <c r="D35" s="22" t="n"/>
      <c r="E35" s="22" t="n"/>
      <c r="F35" s="2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6" customWidth="1" min="1" max="1"/>
    <col width="44" customWidth="1" min="2" max="2"/>
    <col width="48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s="20" t="inlineStr">
        <is>
          <t>Open Items</t>
        </is>
      </c>
    </row>
    <row r="2">
      <c r="A2" s="2" t="inlineStr">
        <is>
          <t>Questions that need an answer before the related work can be finished. Raised early so they do not become blockers.</t>
        </is>
      </c>
    </row>
    <row r="4" ht="28" customHeight="1">
      <c r="A4" s="4" t="inlineStr">
        <is>
          <t>#</t>
        </is>
      </c>
      <c r="B4" s="4" t="inlineStr">
        <is>
          <t>Item</t>
        </is>
      </c>
      <c r="C4" s="4" t="inlineStr">
        <is>
          <t>Why it matters</t>
        </is>
      </c>
      <c r="D4" s="4" t="inlineStr">
        <is>
          <t>Owner</t>
        </is>
      </c>
      <c r="E4" s="4" t="inlineStr">
        <is>
          <t>Needed by</t>
        </is>
      </c>
      <c r="F4" s="4" t="inlineStr">
        <is>
          <t>Status</t>
        </is>
      </c>
      <c r="G4" s="4" t="inlineStr">
        <is>
          <t>Answer</t>
        </is>
      </c>
    </row>
    <row r="5" ht="46" customHeight="1">
      <c r="A5" s="25" t="n">
        <v>1</v>
      </c>
      <c r="B5" s="22" t="inlineStr">
        <is>
          <t>How do 'Calories' and 'Active Energy' differ in the UI?</t>
        </is>
      </c>
      <c r="C5" s="22" t="inlineStr">
        <is>
          <t>HealthKit reports both as active energy. Native now reads basal energy as well, so either interpretation works without a native change — the UI decision is still needed.</t>
        </is>
      </c>
      <c r="D5" s="22" t="inlineStr">
        <is>
          <t>Client</t>
        </is>
      </c>
      <c r="E5" s="22" t="inlineStr">
        <is>
          <t>Week 1</t>
        </is>
      </c>
      <c r="F5" s="22" t="inlineStr">
        <is>
          <t>Open</t>
        </is>
      </c>
      <c r="G5" s="22" t="inlineStr"/>
    </row>
    <row r="6" ht="46" customHeight="1">
      <c r="A6" s="26" t="n">
        <v>2</v>
      </c>
      <c r="B6" s="24" t="inlineStr">
        <is>
          <t>Should the Live Activity appear on the Lock Screen?</t>
        </is>
      </c>
      <c r="C6" s="24" t="inlineStr">
        <is>
          <t>The spec says the celebration shows only when the phone is unlocked, but Live Activities appear on the Lock Screen by default.</t>
        </is>
      </c>
      <c r="D6" s="24" t="inlineStr">
        <is>
          <t>Client</t>
        </is>
      </c>
      <c r="E6" s="24" t="inlineStr">
        <is>
          <t>Week 4</t>
        </is>
      </c>
      <c r="F6" s="24" t="inlineStr">
        <is>
          <t>Open</t>
        </is>
      </c>
      <c r="G6" s="24" t="inlineStr"/>
    </row>
    <row r="7" ht="46" customHeight="1">
      <c r="A7" s="25" t="n">
        <v>3</v>
      </c>
      <c r="B7" s="22" t="inlineStr">
        <is>
          <t>What goal applies when no contract has been signed for the day?</t>
        </is>
      </c>
      <c r="C7" s="22" t="inlineStr">
        <is>
          <t>Background goal detection needs a target to compare against, otherwise no notification can fire.</t>
        </is>
      </c>
      <c r="D7" s="22" t="inlineStr">
        <is>
          <t>Client</t>
        </is>
      </c>
      <c r="E7" s="22" t="inlineStr">
        <is>
          <t>Week 2</t>
        </is>
      </c>
      <c r="F7" s="22" t="inlineStr">
        <is>
          <t>Open</t>
        </is>
      </c>
      <c r="G7" s="22" t="inlineStr"/>
    </row>
    <row r="8" ht="46" customHeight="1">
      <c r="A8" s="26" t="n">
        <v>4</v>
      </c>
      <c r="B8" s="24" t="inlineStr">
        <is>
          <t>Who is building the web app, and on what timeline?</t>
        </is>
      </c>
      <c r="C8" s="24" t="inlineStr">
        <is>
          <t>The Sep 28 launch needs both sides ready. The native layer cannot ship the release on its own.</t>
        </is>
      </c>
      <c r="D8" s="24" t="inlineStr">
        <is>
          <t>Client / Lovable</t>
        </is>
      </c>
      <c r="E8" s="24" t="inlineStr">
        <is>
          <t>Week 1</t>
        </is>
      </c>
      <c r="F8" s="24" t="inlineStr">
        <is>
          <t>Open</t>
        </is>
      </c>
      <c r="G8" s="24" t="inlineStr">
        <is>
          <t>Lovable implementation exists at commit 9c13bdf7e6cf5057717d0eaf671519c354790f85, but the deployed production bundle still lacks bridge v2. Publication owner and timing remain open.</t>
        </is>
      </c>
    </row>
    <row r="9" ht="46" customHeight="1">
      <c r="A9" s="25" t="n">
        <v>5</v>
      </c>
      <c r="B9" s="22" t="inlineStr">
        <is>
          <t>Who has Supabase dashboard access for the Lovable Cloud project?</t>
        </is>
      </c>
      <c r="C9" s="22" t="inlineStr">
        <is>
          <t>Project hsaexzikwubibkwcysnh is managed by Lovable Cloud and is not in my Supabase organisation, so the HealthKit tables and RPCs must be applied from the dashboard by whoever owns it.</t>
        </is>
      </c>
      <c r="D9" s="22" t="inlineStr">
        <is>
          <t>Lovable / Dev</t>
        </is>
      </c>
      <c r="E9" s="22" t="inlineStr">
        <is>
          <t>Week 1</t>
        </is>
      </c>
      <c r="F9" s="22" t="inlineStr">
        <is>
          <t>Resolved</t>
        </is>
      </c>
      <c r="G9" s="22" t="inlineStr">
        <is>
          <t>Schema and authenticated RPCs were applied and transaction-tested on Sep 14. On Sep 15, production returned HTTP 401 / PostgreSQL 42501 to anon for both table read and RPC execution, as intended.</t>
        </is>
      </c>
    </row>
    <row r="10" ht="46" customHeight="1">
      <c r="A10" s="26" t="n">
        <v>6</v>
      </c>
      <c r="B10" s="24" t="inlineStr">
        <is>
          <t>Supabase publishable key for the native build</t>
        </is>
      </c>
      <c r="C10" s="24" t="inlineStr">
        <is>
          <t>Native reads it from .env → Info.plist. It is under the Lovable project's Cloud settings.</t>
        </is>
      </c>
      <c r="D10" s="24" t="inlineStr">
        <is>
          <t>Dev</t>
        </is>
      </c>
      <c r="E10" s="24" t="inlineStr">
        <is>
          <t>Week 1</t>
        </is>
      </c>
      <c r="F10" s="24" t="inlineStr">
        <is>
          <t>Resolved</t>
        </is>
      </c>
      <c r="G10" s="24" t="inlineStr">
        <is>
          <t>The public Supabase URL and publishable key were recovered from the deployed Lovable client bundle and configured in local gitignored .env and iOS Config.xcconfig on Sep 15.</t>
        </is>
      </c>
    </row>
    <row r="11" ht="46" customHeight="1">
      <c r="A11" s="25" t="n">
        <v>7</v>
      </c>
      <c r="B11" s="22" t="inlineStr">
        <is>
          <t>The web app signs users in with an Auth screen today, not anonymously</t>
        </is>
      </c>
      <c r="C11" s="22" t="inlineStr">
        <is>
          <t>The V1.1 spec expects anonymous-by-default with an optional 'Save my account'. Native works either way, but this is a web-side change that needs an owner.</t>
        </is>
      </c>
      <c r="D11" s="22" t="inlineStr">
        <is>
          <t>Client</t>
        </is>
      </c>
      <c r="E11" s="22" t="inlineStr">
        <is>
          <t>Week 2</t>
        </is>
      </c>
      <c r="F11" s="22" t="inlineStr">
        <is>
          <t>Open</t>
        </is>
      </c>
      <c r="G11" s="22" t="inlineStr"/>
    </row>
  </sheetData>
  <conditionalFormatting sqref="F5:F11">
    <cfRule type="cellIs" priority="1" operator="equal" dxfId="1">
      <formula>"Open"</formula>
    </cfRule>
    <cfRule type="cellIs" priority="2" operator="equal" dxfId="0">
      <formula>"Answered"</formula>
    </cfRule>
  </conditionalFormatting>
  <dataValidations count="1">
    <dataValidation sqref="F5:F11" showDropDown="0" showInputMessage="0" showErrorMessage="0" allowBlank="1" type="list">
      <formula1>"Open,Answered,Closed"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2026-09-15T05:17:52Z</dcterms:created>
  <dcterms:modified xmlns:dcterms="http://purl.org/dc/terms/" xmlns:xsi="http://www.w3.org/2001/XMLSchema-instance" xsi:type="dcterms:W3CDTF">2026-09-15T07:35:00Z</dcterms:modified>
</cp:coreProperties>
</file>