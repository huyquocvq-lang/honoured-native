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Weekly Progress" sheetId="2" state="visible" r:id="rId2"/>
    <sheet xmlns:r="http://schemas.openxmlformats.org/officeDocument/2006/relationships" name="Task Tracker" sheetId="3" state="visible" r:id="rId3"/>
    <sheet xmlns:r="http://schemas.openxmlformats.org/officeDocument/2006/relationships" name="Screenshots" sheetId="4" state="visible" r:id="rId4"/>
    <sheet xmlns:r="http://schemas.openxmlformats.org/officeDocument/2006/relationships" name="Open Items" sheetId="5" state="visible" r:id="rId5"/>
  </sheets>
  <definedNames/>
  <calcPr calcId="124519" calcMode="auto" fullCalcOnLoad="1" forceFullCalc="1"/>
</workbook>
</file>

<file path=xl/styles.xml><?xml version="1.0" encoding="utf-8"?>
<styleSheet xmlns="http://schemas.openxmlformats.org/spreadsheetml/2006/main">
  <numFmts count="0"/>
  <fonts count="13">
    <font>
      <name val="Calibri"/>
      <color theme="1"/>
      <sz val="11"/>
    </font>
    <font>
      <b val="1"/>
      <color rgb="FF1F3A5F"/>
      <sz val="16"/>
    </font>
    <font>
      <color rgb="FF6B7684"/>
      <sz val="10"/>
    </font>
    <font>
      <b val="1"/>
      <color rgb="FF1F3A5F"/>
      <sz val="11"/>
    </font>
    <font>
      <b val="1"/>
      <color rgb="FFFFFFFF"/>
      <sz val="10"/>
    </font>
    <font>
      <b val="1"/>
    </font>
    <font>
      <b val="1"/>
      <sz val="10"/>
    </font>
    <font>
      <b val="1"/>
      <color rgb="FF000000"/>
      <sz val="10"/>
    </font>
    <font>
      <b val="1"/>
      <color rgb="FF9C5700"/>
      <sz val="10"/>
    </font>
    <font>
      <b val="1"/>
      <color rgb="FF006100"/>
      <sz val="10"/>
    </font>
    <font>
      <b val="1"/>
      <color rgb="FF9C0006"/>
      <sz val="10"/>
    </font>
    <font>
      <b val="1"/>
      <color rgb="FF5A5A5A"/>
      <sz val="10"/>
    </font>
    <font>
      <b val="1"/>
      <color rgb="FF1F3A5F"/>
      <sz val="14"/>
    </font>
  </fonts>
  <fills count="10">
    <fill>
      <patternFill/>
    </fill>
    <fill>
      <patternFill patternType="gray125"/>
    </fill>
    <fill>
      <patternFill patternType="solid">
        <fgColor rgb="FF1F3A5F"/>
      </patternFill>
    </fill>
    <fill>
      <patternFill patternType="solid">
        <fgColor rgb="FFE8EDF3"/>
      </patternFill>
    </fill>
    <fill>
      <patternFill patternType="solid">
        <fgColor rgb="FFFFFFFF"/>
      </patternFill>
    </fill>
    <fill>
      <patternFill patternType="solid">
        <fgColor rgb="FFFFEB9C"/>
      </patternFill>
    </fill>
    <fill>
      <patternFill patternType="solid">
        <fgColor rgb="FFC6EFCE"/>
      </patternFill>
    </fill>
    <fill>
      <patternFill patternType="solid">
        <fgColor rgb="FFFFC7CE"/>
      </patternFill>
    </fill>
    <fill>
      <patternFill patternType="solid">
        <fgColor rgb="FFE4E4E4"/>
      </patternFill>
    </fill>
    <fill>
      <patternFill patternType="solid">
        <fgColor rgb="FFF5F7FA"/>
      </patternFill>
    </fill>
  </fills>
  <borders count="6">
    <border/>
    <border>
      <left style="thin">
        <color rgb="FFD0D7DE"/>
      </left>
      <right style="thin">
        <color rgb="FFD0D7DE"/>
      </right>
      <top style="thin">
        <color rgb="FFD0D7DE"/>
      </top>
      <bottom style="thin">
        <color rgb="FFD0D7DE"/>
      </bottom>
    </border>
    <border>
      <top style="thin">
        <color rgb="FFD0D7DE"/>
      </top>
    </border>
    <border>
      <right style="thin">
        <color rgb="FFD0D7DE"/>
      </right>
      <top style="thin">
        <color rgb="FFD0D7DE"/>
      </top>
    </border>
    <border>
      <top style="thin">
        <color rgb="FFD0D7DE"/>
      </top>
      <bottom style="thin">
        <color rgb="FFD0D7DE"/>
      </bottom>
    </border>
    <border>
      <right style="thin">
        <color rgb="FFD0D7DE"/>
      </right>
      <top style="thin">
        <color rgb="FFD0D7DE"/>
      </top>
      <bottom style="thin">
        <color rgb="FFD0D7DE"/>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5" fillId="0" borderId="1" pivotButton="0" quotePrefix="0" xfId="0"/>
    <xf numFmtId="0" fontId="0" fillId="0" borderId="1" pivotButton="0" quotePrefix="0" xfId="0"/>
    <xf numFmtId="9" fontId="0" fillId="0" borderId="1" pivotButton="0" quotePrefix="0" xfId="0"/>
    <xf numFmtId="0" fontId="0" fillId="0" borderId="1" applyAlignment="1" pivotButton="0" quotePrefix="0" xfId="0">
      <alignment vertical="center" wrapText="1"/>
    </xf>
    <xf numFmtId="0" fontId="5" fillId="3" borderId="1" pivotButton="0" quotePrefix="0" xfId="0"/>
    <xf numFmtId="0" fontId="0" fillId="3" borderId="1" pivotButton="0" quotePrefix="0" xfId="0"/>
    <xf numFmtId="9" fontId="5" fillId="3" borderId="1" pivotButton="0" quotePrefix="0" xfId="0"/>
    <xf numFmtId="0" fontId="0" fillId="0" borderId="4" pivotButton="0" quotePrefix="0" xfId="0"/>
    <xf numFmtId="0" fontId="0" fillId="0" borderId="5" pivotButton="0" quotePrefix="0" xfId="0"/>
    <xf numFmtId="0" fontId="6" fillId="0" borderId="1" pivotButton="0" quotePrefix="0" xfId="0"/>
    <xf numFmtId="0" fontId="7" fillId="4" borderId="1" pivotButton="0" quotePrefix="0" xfId="0"/>
    <xf numFmtId="0" fontId="8" fillId="5" borderId="1" pivotButton="0" quotePrefix="0" xfId="0"/>
    <xf numFmtId="0" fontId="9" fillId="6" borderId="1" pivotButton="0" quotePrefix="0" xfId="0"/>
    <xf numFmtId="0" fontId="10" fillId="7" borderId="1" pivotButton="0" quotePrefix="0" xfId="0"/>
    <xf numFmtId="0" fontId="11" fillId="8" borderId="1" pivotButton="0" quotePrefix="0" xfId="0"/>
    <xf numFmtId="0" fontId="12" fillId="0" borderId="0" pivotButton="0" quotePrefix="0" xfId="0"/>
    <xf numFmtId="0" fontId="6" fillId="0" borderId="1" applyAlignment="1" pivotButton="0" quotePrefix="0" xfId="0">
      <alignment vertical="top" wrapText="1"/>
    </xf>
    <xf numFmtId="0" fontId="0" fillId="0" borderId="1" applyAlignment="1" pivotButton="0" quotePrefix="0" xfId="0">
      <alignment vertical="top" wrapText="1"/>
    </xf>
    <xf numFmtId="0" fontId="6" fillId="9" borderId="1" applyAlignment="1" pivotButton="0" quotePrefix="0" xfId="0">
      <alignment vertical="top" wrapText="1"/>
    </xf>
    <xf numFmtId="0" fontId="0" fillId="9" borderId="1" applyAlignment="1" pivotButton="0" quotePrefix="0" xfId="0">
      <alignment vertical="top" wrapText="1"/>
    </xf>
    <xf numFmtId="0" fontId="5" fillId="0" borderId="1" applyAlignment="1" pivotButton="0" quotePrefix="0" xfId="0">
      <alignment vertical="top" wrapText="1"/>
    </xf>
    <xf numFmtId="0" fontId="5" fillId="9" borderId="1" applyAlignment="1" pivotButton="0" quotePrefix="0" xfId="0">
      <alignment vertical="top" wrapText="1"/>
    </xf>
  </cellXfs>
  <cellStyles count="1">
    <cellStyle name="Normal" xfId="0"/>
  </cellStyles>
  <dxfs count="4">
    <dxf>
      <font>
        <b val="1"/>
        <color rgb="00006100"/>
      </font>
      <fill>
        <patternFill>
          <bgColor rgb="00C6EFCE"/>
        </patternFill>
      </fill>
    </dxf>
    <dxf>
      <font>
        <b val="1"/>
        <color rgb="009C5700"/>
      </font>
      <fill>
        <patternFill>
          <bgColor rgb="00FFEB9C"/>
        </patternFill>
      </fill>
    </dxf>
    <dxf>
      <font>
        <b val="1"/>
        <color rgb="009C0006"/>
      </font>
      <fill>
        <patternFill>
          <bgColor rgb="00FFC7CE"/>
        </patternFill>
      </fill>
    </dxf>
    <dxf>
      <font>
        <b val="1"/>
        <color rgb="005A5A5A"/>
      </font>
      <fill>
        <patternFill>
          <bgColor rgb="00E4E4E4"/>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G27"/>
  <sheetViews>
    <sheetView showGridLines="0" workbookViewId="0">
      <selection activeCell="A1" sqref="A1"/>
    </sheetView>
  </sheetViews>
  <sheetFormatPr baseColWidth="8" defaultRowHeight="15"/>
  <cols>
    <col width="16" customWidth="1" min="1" max="1"/>
    <col width="18" customWidth="1" min="2" max="2"/>
    <col width="12" customWidth="1" min="3" max="3"/>
    <col width="14" customWidth="1" min="4" max="4"/>
    <col width="14" customWidth="1" min="5" max="5"/>
    <col width="12" customWidth="1" min="6" max="6"/>
    <col width="44" customWidth="1" min="7" max="7"/>
  </cols>
  <sheetData>
    <row r="1">
      <c r="A1" s="1" t="inlineStr">
        <is>
          <t>Honoured V1.1 — Native iOS Progress Tracker</t>
        </is>
      </c>
    </row>
    <row r="2">
      <c r="A2" s="2" t="inlineStr">
        <is>
          <t>Daily progress, task status and build screenshots for the V1.1 native scope (HealthKit, notifications, Dynamic Island, sign-in). Last updated Sep 15.</t>
        </is>
      </c>
    </row>
    <row r="3">
      <c r="A3" s="2" t="inlineStr">
        <is>
          <t>Scope: iOS native layer only. Web app (Contract, Progress, Journal, Calendar, Settings) is tracked separately. Android is out of scope for V1.1.</t>
        </is>
      </c>
    </row>
    <row r="5">
      <c r="A5" s="3" t="inlineStr">
        <is>
          <t>MILESTONES</t>
        </is>
      </c>
    </row>
    <row r="6" ht="28" customHeight="1">
      <c r="A6" s="4" t="inlineStr">
        <is>
          <t>Milestone</t>
        </is>
      </c>
      <c r="B6" s="4" t="inlineStr">
        <is>
          <t>Dates</t>
        </is>
      </c>
      <c r="C6" s="4" t="inlineStr">
        <is>
          <t>Payment</t>
        </is>
      </c>
      <c r="D6" s="4" t="inlineStr">
        <is>
          <t>Est. hours</t>
        </is>
      </c>
      <c r="E6" s="4" t="inlineStr">
        <is>
          <t>Actual hours</t>
        </is>
      </c>
      <c r="F6" s="4" t="inlineStr">
        <is>
          <t>% complete</t>
        </is>
      </c>
      <c r="G6" s="4" t="inlineStr">
        <is>
          <t>Deliverable</t>
        </is>
      </c>
    </row>
    <row r="7" ht="30" customHeight="1">
      <c r="A7" s="5" t="inlineStr">
        <is>
          <t>M1</t>
        </is>
      </c>
      <c r="B7" s="6" t="inlineStr">
        <is>
          <t>Sep 8</t>
        </is>
      </c>
      <c r="C7" s="6" t="inlineStr">
        <is>
          <t>$500</t>
        </is>
      </c>
      <c r="D7" s="6">
        <f>SUMIF('Task Tracker'!B:B,"M1",'Task Tracker'!F:F)</f>
        <v/>
      </c>
      <c r="E7" s="6">
        <f>SUMIF('Task Tracker'!B:B,"M1",'Task Tracker'!G:G)</f>
        <v/>
      </c>
      <c r="F7" s="7">
        <f>IF(COUNTIF('Task Tracker'!B:B,"M1")=0,0,COUNTIFS('Task Tracker'!B:B,"M1",'Task Tracker'!H:H,"Done")/COUNTIF('Task Tracker'!B:B,"M1"))</f>
        <v/>
      </c>
      <c r="G7" s="8" t="inlineStr">
        <is>
          <t>Scope locked: bridge contract, database schema, project configuration</t>
        </is>
      </c>
    </row>
    <row r="8" ht="30" customHeight="1">
      <c r="A8" s="5" t="inlineStr">
        <is>
          <t>M2</t>
        </is>
      </c>
      <c r="B8" s="6" t="inlineStr">
        <is>
          <t>Sep 8 – 28</t>
        </is>
      </c>
      <c r="C8" s="6" t="inlineStr">
        <is>
          <t>$700</t>
        </is>
      </c>
      <c r="D8" s="6">
        <f>SUMIF('Task Tracker'!B:B,"M2",'Task Tracker'!F:F)</f>
        <v/>
      </c>
      <c r="E8" s="6">
        <f>SUMIF('Task Tracker'!B:B,"M2",'Task Tracker'!G:G)</f>
        <v/>
      </c>
      <c r="F8" s="7">
        <f>IF(COUNTIF('Task Tracker'!B:B,"M2")=0,0,COUNTIFS('Task Tracker'!B:B,"M2",'Task Tracker'!H:H,"Done")/COUNTIF('Task Tracker'!B:B,"M2"))</f>
        <v/>
      </c>
      <c r="G8" s="8" t="inlineStr">
        <is>
          <t>V1.1 on the App Store — HealthKit, notifications, timer, gong, Sign in with Apple</t>
        </is>
      </c>
    </row>
    <row r="9" ht="30" customHeight="1">
      <c r="A9" s="5" t="inlineStr">
        <is>
          <t>M3</t>
        </is>
      </c>
      <c r="B9" s="6" t="inlineStr">
        <is>
          <t>Sep 29 – Oct 12</t>
        </is>
      </c>
      <c r="C9" s="6" t="inlineStr">
        <is>
          <t>$500</t>
        </is>
      </c>
      <c r="D9" s="6">
        <f>SUMIF('Task Tracker'!B:B,"M3",'Task Tracker'!F:F)</f>
        <v/>
      </c>
      <c r="E9" s="6">
        <f>SUMIF('Task Tracker'!B:B,"M3",'Task Tracker'!G:G)</f>
        <v/>
      </c>
      <c r="F9" s="7">
        <f>IF(COUNTIF('Task Tracker'!B:B,"M3")=0,0,COUNTIFS('Task Tracker'!B:B,"M3",'Task Tracker'!H:H,"Done")/COUNTIF('Task Tracker'!B:B,"M3"))</f>
        <v/>
      </c>
      <c r="G9" s="8" t="inlineStr">
        <is>
          <t>Dynamic Island (Live Activity) and Google Sign-In shipped</t>
        </is>
      </c>
    </row>
    <row r="10">
      <c r="A10" s="9" t="inlineStr">
        <is>
          <t>Total</t>
        </is>
      </c>
      <c r="B10" s="10" t="n"/>
      <c r="C10" s="9" t="inlineStr">
        <is>
          <t>$1,700</t>
        </is>
      </c>
      <c r="D10" s="9">
        <f>SUM(D7:D9)</f>
        <v/>
      </c>
      <c r="E10" s="9">
        <f>SUM(E7:E9)</f>
        <v/>
      </c>
      <c r="F10" s="11">
        <f>IF(COUNTA('Task Tracker'!A:A)-1=0,0,COUNTIF('Task Tracker'!H:H,"Done")/(COUNTA('Task Tracker'!A:A)-1))</f>
        <v/>
      </c>
      <c r="G10" s="10" t="n"/>
    </row>
    <row r="12">
      <c r="A12" s="3" t="inlineStr">
        <is>
          <t>CONFIRMED DECISIONS</t>
        </is>
      </c>
    </row>
    <row r="13" ht="28" customHeight="1">
      <c r="A13" s="4" t="inlineStr">
        <is>
          <t>Topic</t>
        </is>
      </c>
      <c r="B13" s="4" t="inlineStr">
        <is>
          <t>Decision</t>
        </is>
      </c>
      <c r="C13" s="12" t="n"/>
      <c r="D13" s="12" t="n"/>
      <c r="E13" s="12" t="n"/>
      <c r="F13" s="12" t="n"/>
      <c r="G13" s="13" t="n"/>
    </row>
    <row r="14" ht="26" customHeight="1">
      <c r="A14" s="14" t="inlineStr">
        <is>
          <t>Dynamic Island</t>
        </is>
      </c>
      <c r="B14" s="8" t="inlineStr">
        <is>
          <t>Ships in M3 (October) as a follow-up update, so it does not block the Sep 28 launch.</t>
        </is>
      </c>
      <c r="C14" s="12" t="n"/>
      <c r="D14" s="12" t="n"/>
      <c r="E14" s="12" t="n"/>
      <c r="F14" s="12" t="n"/>
      <c r="G14" s="13" t="n"/>
    </row>
    <row r="15" ht="26" customHeight="1">
      <c r="A15" s="14" t="inlineStr">
        <is>
          <t>Notifications</t>
        </is>
      </c>
      <c r="B15" s="8" t="inlineStr">
        <is>
          <t>Local, on-device notifications. No server-triggered push infrastructure.</t>
        </is>
      </c>
      <c r="C15" s="12" t="n"/>
      <c r="D15" s="12" t="n"/>
      <c r="E15" s="12" t="n"/>
      <c r="F15" s="12" t="n"/>
      <c r="G15" s="13" t="n"/>
    </row>
    <row r="16" ht="26" customHeight="1">
      <c r="A16" s="14" t="inlineStr">
        <is>
          <t>Sleep data</t>
        </is>
      </c>
      <c r="B16" s="8" t="inlineStr">
        <is>
          <t>The metric is hidden when no data is available (common on iPhone without an Apple Watch).</t>
        </is>
      </c>
      <c r="C16" s="12" t="n"/>
      <c r="D16" s="12" t="n"/>
      <c r="E16" s="12" t="n"/>
      <c r="F16" s="12" t="n"/>
      <c r="G16" s="13" t="n"/>
    </row>
    <row r="17" ht="26" customHeight="1">
      <c r="A17" s="14" t="inlineStr">
        <is>
          <t>Sign-in</t>
        </is>
      </c>
      <c r="B17" s="8" t="inlineStr">
        <is>
          <t>V1.1 ships Sign in with Apple only. Google Sign-In moves to M3.</t>
        </is>
      </c>
      <c r="C17" s="12" t="n"/>
      <c r="D17" s="12" t="n"/>
      <c r="E17" s="12" t="n"/>
      <c r="F17" s="12" t="n"/>
      <c r="G17" s="13" t="n"/>
    </row>
    <row r="18" ht="26" customHeight="1">
      <c r="A18" s="14" t="inlineStr">
        <is>
          <t>Background sync</t>
        </is>
      </c>
      <c r="B18" s="8" t="inlineStr">
        <is>
          <t>Best-effort. iOS schedules background work opportunistically; an exact 1–2 hour cadence cannot be guaranteed.</t>
        </is>
      </c>
      <c r="C18" s="12" t="n"/>
      <c r="D18" s="12" t="n"/>
      <c r="E18" s="12" t="n"/>
      <c r="F18" s="12" t="n"/>
      <c r="G18" s="13" t="n"/>
    </row>
    <row r="19" ht="26" customHeight="1">
      <c r="A19" s="14" t="inlineStr">
        <is>
          <t>Android</t>
        </is>
      </c>
      <c r="B19" s="8" t="inlineStr">
        <is>
          <t>Out of scope for V1.1, consistent with the original spec (V1.2+).</t>
        </is>
      </c>
      <c r="C19" s="12" t="n"/>
      <c r="D19" s="12" t="n"/>
      <c r="E19" s="12" t="n"/>
      <c r="F19" s="12" t="n"/>
      <c r="G19" s="13" t="n"/>
    </row>
    <row r="20" ht="26" customHeight="1">
      <c r="A20" s="14" t="inlineStr">
        <is>
          <t>Daily totals</t>
        </is>
      </c>
      <c r="B20" s="8" t="inlineStr">
        <is>
          <t>Computed on-device with HealthKit statistics (source-deduplicated) and uploaded as such, so iPhone + Watch users are not double counted. Decided Sep 13.</t>
        </is>
      </c>
      <c r="C20" s="12" t="n"/>
      <c r="D20" s="12" t="n"/>
      <c r="E20" s="12" t="n"/>
      <c r="F20" s="12" t="n"/>
      <c r="G20" s="13" t="n"/>
    </row>
    <row r="22">
      <c r="A22" s="3" t="inlineStr">
        <is>
          <t>STATUS LEGEND</t>
        </is>
      </c>
    </row>
    <row r="23">
      <c r="A23" s="15" t="inlineStr">
        <is>
          <t>Not started</t>
        </is>
      </c>
    </row>
    <row r="24">
      <c r="A24" s="16" t="inlineStr">
        <is>
          <t>In progress</t>
        </is>
      </c>
    </row>
    <row r="25">
      <c r="A25" s="17" t="inlineStr">
        <is>
          <t>Done</t>
        </is>
      </c>
    </row>
    <row r="26">
      <c r="A26" s="18" t="inlineStr">
        <is>
          <t>Blocked</t>
        </is>
      </c>
    </row>
    <row r="27">
      <c r="A27" s="19" t="inlineStr">
        <is>
          <t>Deferred</t>
        </is>
      </c>
    </row>
  </sheetData>
  <mergeCells count="8">
    <mergeCell ref="B16:G16"/>
    <mergeCell ref="B20:G20"/>
    <mergeCell ref="B19:G19"/>
    <mergeCell ref="B14:G14"/>
    <mergeCell ref="B17:G17"/>
    <mergeCell ref="B18:G18"/>
    <mergeCell ref="B13:G13"/>
    <mergeCell ref="B15:G1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10"/>
  <sheetViews>
    <sheetView showGridLines="0" workbookViewId="0">
      <pane ySplit="4" topLeftCell="A5" activePane="bottomLeft" state="frozen"/>
      <selection activeCell="A1" sqref="A1"/>
    </sheetView>
  </sheetViews>
  <sheetFormatPr baseColWidth="8" defaultRowHeight="15"/>
  <cols>
    <col width="10" customWidth="1" min="1" max="1"/>
    <col width="18" customWidth="1" min="2" max="2"/>
    <col width="26" customWidth="1" min="3" max="3"/>
    <col width="46" customWidth="1" min="4" max="4"/>
    <col width="14" customWidth="1" min="5" max="5"/>
    <col width="9" customWidth="1" min="6" max="6"/>
    <col width="9" customWidth="1" min="7" max="7"/>
    <col width="40" customWidth="1" min="8" max="8"/>
    <col width="34" customWidth="1" min="9" max="9"/>
    <col width="40" customWidth="1" min="10" max="10"/>
  </cols>
  <sheetData>
    <row r="1">
      <c r="A1" s="20" t="inlineStr">
        <is>
          <t>Weekly Progress</t>
        </is>
      </c>
    </row>
    <row r="2">
      <c r="A2" s="2" t="inlineStr">
        <is>
          <t>Week-level summary, updated daily. Screenshots and build links go in the Screenshots sheet.</t>
        </is>
      </c>
    </row>
    <row r="4" ht="28" customHeight="1">
      <c r="A4" s="4" t="inlineStr">
        <is>
          <t>Week</t>
        </is>
      </c>
      <c r="B4" s="4" t="inlineStr">
        <is>
          <t>Dates</t>
        </is>
      </c>
      <c r="C4" s="4" t="inlineStr">
        <is>
          <t>Focus</t>
        </is>
      </c>
      <c r="D4" s="4" t="inlineStr">
        <is>
          <t>Planned this week</t>
        </is>
      </c>
      <c r="E4" s="4" t="inlineStr">
        <is>
          <t>Status</t>
        </is>
      </c>
      <c r="F4" s="4" t="inlineStr">
        <is>
          <t>Est. h</t>
        </is>
      </c>
      <c r="G4" s="4" t="inlineStr">
        <is>
          <t>Actual h</t>
        </is>
      </c>
      <c r="H4" s="4" t="inlineStr">
        <is>
          <t>Delivered so far</t>
        </is>
      </c>
      <c r="I4" s="4" t="inlineStr">
        <is>
          <t>Blockers</t>
        </is>
      </c>
      <c r="J4" s="4" t="inlineStr">
        <is>
          <t>Notes for client</t>
        </is>
      </c>
    </row>
    <row r="5" ht="96" customHeight="1">
      <c r="A5" s="21" t="inlineStr">
        <is>
          <t>Scope lock</t>
        </is>
      </c>
      <c r="B5" s="22" t="inlineStr">
        <is>
          <t>Sep 8</t>
        </is>
      </c>
      <c r="C5" s="22" t="inlineStr">
        <is>
          <t>Contract and schema locked</t>
        </is>
      </c>
      <c r="D5" s="22" t="inlineStr">
        <is>
          <t>Bridge v2 message contract, Supabase schema and RLS, project configuration, written confirmation of decisions</t>
        </is>
      </c>
      <c r="E5" s="22" t="inlineStr">
        <is>
          <t>Done</t>
        </is>
      </c>
      <c r="F5" s="22">
        <f>SUMIF('Task Tracker'!C:C,"Scope lock",'Task Tracker'!F:F)</f>
        <v/>
      </c>
      <c r="G5" s="22" t="n"/>
      <c r="H5" s="22" t="inlineStr">
        <is>
          <t>Bridge v2 contract, metric mapping and client decisions confirmed. Schema design done; apply path pending.</t>
        </is>
      </c>
      <c r="I5" s="22" t="inlineStr"/>
      <c r="J5" s="22" t="inlineStr"/>
    </row>
    <row r="6" ht="96" customHeight="1">
      <c r="A6" s="23" t="inlineStr">
        <is>
          <t>Week 1</t>
        </is>
      </c>
      <c r="B6" s="24" t="inlineStr">
        <is>
          <t>Sep 8 – 14</t>
        </is>
      </c>
      <c r="C6" s="24" t="inlineStr">
        <is>
          <t>HealthKit foundation</t>
        </is>
      </c>
      <c r="D6" s="24" t="inlineStr">
        <is>
          <t>Permission flow, reads for all seven metrics, Supabase sync, offline queue, duplicate protection</t>
        </is>
      </c>
      <c r="E6" s="24" t="inlineStr">
        <is>
          <t>In progress</t>
        </is>
      </c>
      <c r="F6" s="24">
        <f>SUMIF('Task Tracker'!C:C,"Week 1",'Task Tracker'!F:F)</f>
        <v/>
      </c>
      <c r="G6" s="24" t="n"/>
      <c r="H6" s="24" t="inlineStr">
        <is>
          <t>Native Week 1 code completed and audited: HealthKit permission/anchored reads, source-deduplicated daily totals, Supabase sync, user-bound offline queue, real reconnect retry, Keychain token refresh and bridge v2. Supabase production schema/RPC access controls rechecked; Lovable commit 9c13 passed 91 web tests.</t>
        </is>
      </c>
      <c r="I6" s="24" t="inlineStr">
        <is>
          <t>Apple Developer capabilities, signing and real-device HealthKit tests remain deferred. The deployed Lovable production bundle still lacks bridge v2, so production E2E is blocked until that commit is published.</t>
        </is>
      </c>
      <c r="J6" s="24" t="inlineStr">
        <is>
          <t>Sep 15 audit fixed reconnect reads, retry looping, account isolation, finite-number validation, overlapping sleep totals and late historical samples. Static checks pass. The attempted simulator build was stopped with no result; latest confirmed simulator build remains Sep 14.</t>
        </is>
      </c>
    </row>
    <row r="7" ht="54" customHeight="1">
      <c r="A7" s="21" t="inlineStr">
        <is>
          <t>Week 2</t>
        </is>
      </c>
      <c r="B7" s="22" t="inlineStr">
        <is>
          <t>Sep 15 – 21</t>
        </is>
      </c>
      <c r="C7" s="22" t="inlineStr">
        <is>
          <t>Ceremony and identity</t>
        </is>
      </c>
      <c r="D7" s="22" t="inlineStr">
        <is>
          <t>Background sync, Testament Timer notifications, goal-completion alerts, gong sound, Sign in with Apple</t>
        </is>
      </c>
      <c r="E7" s="22" t="inlineStr">
        <is>
          <t>In progress</t>
        </is>
      </c>
      <c r="F7" s="22">
        <f>SUMIF('Task Tracker'!C:C,"Week 2",'Task Tracker'!F:F)</f>
        <v/>
      </c>
      <c r="G7" s="22" t="n"/>
      <c r="H7" s="22" t="inlineStr">
        <is>
          <t>N-09 to N-15 code complete (Sep 15): background delivery + app refresh fallback, notification delegate + permission timing, native Testament Timer, once-per-day goal detection, sound setting + ambient audio session, durable cold-start event store. Simulator-verified via a DEBUG bridge stub: timer 18/18, goals 11/11, sound 5/5, background banner, exactly-once completion across relaunch, Health Access sheet.</t>
        </is>
      </c>
      <c r="I7" s="22" t="inlineStr">
        <is>
          <t>Device acceptance depends on Apple Developer capabilities/signing. Production E2E depends on publishing Lovable commit 9c13 and on the web work listed in plan section 7.1 (timer/notification/sound/ACTIVITY_COMPLETED messages are not in the web bridge yet). Approved gong asset still needed; Pause/Resume and anonymous + linkIdentity need client decisions.</t>
        </is>
      </c>
      <c r="J7" s="22" t="inlineStr">
        <is>
          <t>Execution plan Sep 15-21: N-09 to N-15 code done Sep 15 (ahead of plan); next N-16 Apple identity, then device verification once signing is available. Lovable checklist L-1 to L-13 written from a read of the current web code (plan section 7.1).</t>
        </is>
      </c>
    </row>
    <row r="8" ht="54" customHeight="1">
      <c r="A8" s="23" t="inlineStr">
        <is>
          <t>Week 3</t>
        </is>
      </c>
      <c r="B8" s="24" t="inlineStr">
        <is>
          <t>Sep 22 – 28</t>
        </is>
      </c>
      <c r="C8" s="24" t="inlineStr">
        <is>
          <t>QA and release</t>
        </is>
      </c>
      <c r="D8" s="24" t="inlineStr">
        <is>
          <t>Permission and background QA, bug fixes, privacy paperwork, TestFlight, App Store submission</t>
        </is>
      </c>
      <c r="E8" s="24" t="inlineStr">
        <is>
          <t>Not started</t>
        </is>
      </c>
      <c r="F8" s="24">
        <f>SUMIF('Task Tracker'!C:C,"Week 3",'Task Tracker'!F:F)</f>
        <v/>
      </c>
      <c r="G8" s="24" t="n"/>
      <c r="H8" s="24" t="inlineStr"/>
      <c r="I8" s="24" t="inlineStr"/>
      <c r="J8" s="24" t="inlineStr"/>
    </row>
    <row r="9" ht="54" customHeight="1">
      <c r="A9" s="21" t="inlineStr">
        <is>
          <t>Week 4</t>
        </is>
      </c>
      <c r="B9" s="22" t="inlineStr">
        <is>
          <t>Sep 29 – Oct 5</t>
        </is>
      </c>
      <c r="C9" s="22" t="inlineStr">
        <is>
          <t>Dynamic Island build</t>
        </is>
      </c>
      <c r="D9" s="22" t="inlineStr">
        <is>
          <t>Widget Extension target, Live Activity presentations, activity lifecycle</t>
        </is>
      </c>
      <c r="E9" s="22" t="inlineStr">
        <is>
          <t>Not started</t>
        </is>
      </c>
      <c r="F9" s="22">
        <f>SUMIF('Task Tracker'!C:C,"Week 4",'Task Tracker'!F:F)</f>
        <v/>
      </c>
      <c r="G9" s="22" t="n"/>
      <c r="H9" s="22" t="inlineStr"/>
      <c r="I9" s="22" t="inlineStr"/>
      <c r="J9" s="22" t="inlineStr"/>
    </row>
    <row r="10" ht="54" customHeight="1">
      <c r="A10" s="23" t="inlineStr">
        <is>
          <t>Week 5</t>
        </is>
      </c>
      <c r="B10" s="24" t="inlineStr">
        <is>
          <t>Oct 6 – 12</t>
        </is>
      </c>
      <c r="C10" s="24" t="inlineStr">
        <is>
          <t>Dynamic Island finish + Google</t>
        </is>
      </c>
      <c r="D10" s="24" t="inlineStr">
        <is>
          <t>Three-blink completion effect, HealthKit goal hook, Google Sign-In, QA and update submission</t>
        </is>
      </c>
      <c r="E10" s="24" t="inlineStr">
        <is>
          <t>Not started</t>
        </is>
      </c>
      <c r="F10" s="24">
        <f>SUMIF('Task Tracker'!C:C,"Week 5",'Task Tracker'!F:F)</f>
        <v/>
      </c>
      <c r="G10" s="24" t="n"/>
      <c r="H10" s="24" t="inlineStr"/>
      <c r="I10" s="24" t="inlineStr"/>
      <c r="J10" s="24" t="inlineStr"/>
    </row>
  </sheetData>
  <conditionalFormatting sqref="E5:E10">
    <cfRule type="cellIs" priority="1" operator="equal" dxfId="0">
      <formula>"Done"</formula>
    </cfRule>
    <cfRule type="cellIs" priority="2" operator="equal" dxfId="1">
      <formula>"In progress"</formula>
    </cfRule>
    <cfRule type="cellIs" priority="3" operator="equal" dxfId="2">
      <formula>"Blocked"</formula>
    </cfRule>
    <cfRule type="cellIs" priority="4" operator="equal" dxfId="3">
      <formula>"Deferred"</formula>
    </cfRule>
  </conditionalFormatting>
  <dataValidations count="1">
    <dataValidation sqref="E5:E10" showDropDown="0" showInputMessage="0" showErrorMessage="0" allowBlank="1" type="list">
      <formula1>"Not started,In progress,Done,Blocked,Deferred"</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38"/>
  <sheetViews>
    <sheetView showGridLines="0" workbookViewId="0">
      <pane ySplit="4" topLeftCell="A5" activePane="bottomLeft" state="frozen"/>
      <selection activeCell="A1" sqref="A1"/>
    </sheetView>
  </sheetViews>
  <sheetFormatPr baseColWidth="8" defaultRowHeight="15"/>
  <cols>
    <col width="9" customWidth="1" min="1" max="1"/>
    <col width="11" customWidth="1" min="2" max="2"/>
    <col width="12" customWidth="1" min="3" max="3"/>
    <col width="46" customWidth="1" min="4" max="4"/>
    <col width="10" customWidth="1" min="5" max="5"/>
    <col width="8" customWidth="1" min="6" max="6"/>
    <col width="9" customWidth="1" min="7" max="7"/>
    <col width="14" customWidth="1" min="8" max="8"/>
    <col width="44" customWidth="1" min="9" max="9"/>
    <col width="30" customWidth="1" min="10" max="10"/>
    <col width="60" customWidth="1" min="11" max="11"/>
  </cols>
  <sheetData>
    <row r="1">
      <c r="A1" s="20" t="inlineStr">
        <is>
          <t>Task Tracker</t>
        </is>
      </c>
    </row>
    <row r="2">
      <c r="A2" s="2" t="inlineStr">
        <is>
          <t>Every task in the native scope. Filter by milestone or week to see a slice of the work.</t>
        </is>
      </c>
    </row>
    <row r="4" ht="28" customHeight="1">
      <c r="A4" s="4" t="inlineStr">
        <is>
          <t>ID</t>
        </is>
      </c>
      <c r="B4" s="4" t="inlineStr">
        <is>
          <t>Milestone</t>
        </is>
      </c>
      <c r="C4" s="4" t="inlineStr">
        <is>
          <t>Week</t>
        </is>
      </c>
      <c r="D4" s="4" t="inlineStr">
        <is>
          <t>Task</t>
        </is>
      </c>
      <c r="E4" s="4" t="inlineStr">
        <is>
          <t>Layer</t>
        </is>
      </c>
      <c r="F4" s="4" t="inlineStr">
        <is>
          <t>Est. h</t>
        </is>
      </c>
      <c r="G4" s="4" t="inlineStr">
        <is>
          <t>Actual h</t>
        </is>
      </c>
      <c r="H4" s="4" t="inlineStr">
        <is>
          <t>Status</t>
        </is>
      </c>
      <c r="I4" s="4" t="inlineStr">
        <is>
          <t>Done when</t>
        </is>
      </c>
      <c r="J4" s="4" t="inlineStr">
        <is>
          <t>Evidence</t>
        </is>
      </c>
      <c r="K4" s="4" t="inlineStr">
        <is>
          <t>Notes</t>
        </is>
      </c>
    </row>
    <row r="5" ht="72" customHeight="1">
      <c r="A5" s="21" t="inlineStr">
        <is>
          <t>M1-01</t>
        </is>
      </c>
      <c r="B5" s="22" t="inlineStr">
        <is>
          <t>M1</t>
        </is>
      </c>
      <c r="C5" s="22" t="inlineStr">
        <is>
          <t>Scope lock</t>
        </is>
      </c>
      <c r="D5" s="22" t="inlineStr">
        <is>
          <t>Lock bridge v2 message contract, update docs/bridge.md</t>
        </is>
      </c>
      <c r="E5" s="22" t="inlineStr">
        <is>
          <t>Native</t>
        </is>
      </c>
      <c r="F5" s="22" t="n">
        <v>3</v>
      </c>
      <c r="G5" s="22" t="n"/>
      <c r="H5" s="22" t="inlineStr">
        <is>
          <t>Done</t>
        </is>
      </c>
      <c r="I5" s="22" t="inlineStr">
        <is>
          <t>Web side confirms they can build against the documented contract</t>
        </is>
      </c>
      <c r="J5" s="22" t="inlineStr">
        <is>
          <t>docs/bridge.md · commit c1b6bed</t>
        </is>
      </c>
      <c r="K5" s="22" t="inlineStr">
        <is>
          <t>Locked Sep 13. Adds auth-session hand-off, three distance metrics, GET_TIMER_STATE, GOAL_REACHED broadcast, linkIdentity rule for Apple. Sep 13 fix: any inbound message marks the web ready, since the current web build never sends APP_READY.</t>
        </is>
      </c>
    </row>
    <row r="6" ht="72" customHeight="1">
      <c r="A6" s="23" t="inlineStr">
        <is>
          <t>M1-02</t>
        </is>
      </c>
      <c r="B6" s="24" t="inlineStr">
        <is>
          <t>M1</t>
        </is>
      </c>
      <c r="C6" s="24" t="inlineStr">
        <is>
          <t>Scope lock</t>
        </is>
      </c>
      <c r="D6" s="24" t="inlineStr">
        <is>
          <t>Lock Supabase schema + row-level security, review with web side</t>
        </is>
      </c>
      <c r="E6" s="24" t="inlineStr">
        <is>
          <t>Supabase</t>
        </is>
      </c>
      <c r="F6" s="24" t="n">
        <v>3</v>
      </c>
      <c r="G6" s="24" t="n"/>
      <c r="H6" s="24" t="inlineStr">
        <is>
          <t>Done</t>
        </is>
      </c>
      <c r="I6" s="24" t="inlineStr">
        <is>
          <t>Schema runs on staging, RLS verified for a second user</t>
        </is>
      </c>
      <c r="J6" s="24" t="inlineStr">
        <is>
          <t>docs/db/healthkit_v1.sql · authenticated RPC transaction test</t>
        </is>
      </c>
      <c r="K6" s="24" t="inlineStr">
        <is>
          <t>Applied to Lovable Cloud Sep 14. Both tables have RLS; anon cannot read; authenticated select/insert/update and both SECURITY INVOKER RPCs verified. Test rows rolled back.</t>
        </is>
      </c>
    </row>
    <row r="7" ht="72" customHeight="1">
      <c r="A7" s="21" t="inlineStr">
        <is>
          <t>M1-03</t>
        </is>
      </c>
      <c r="B7" s="22" t="inlineStr">
        <is>
          <t>M1</t>
        </is>
      </c>
      <c r="C7" s="22" t="inlineStr">
        <is>
          <t>Scope lock</t>
        </is>
      </c>
      <c r="D7" s="22" t="inlineStr">
        <is>
          <t>Lock the 7 metrics and their HealthKit identifier mapping</t>
        </is>
      </c>
      <c r="E7" s="22" t="inlineStr">
        <is>
          <t>Native</t>
        </is>
      </c>
      <c r="F7" s="22" t="n">
        <v>1</v>
      </c>
      <c r="G7" s="22" t="n"/>
      <c r="H7" s="22" t="inlineStr">
        <is>
          <t>Done</t>
        </is>
      </c>
      <c r="I7" s="22" t="inlineStr">
        <is>
          <t>Each metric maps to a named HealthKit type, ambiguities resolved</t>
        </is>
      </c>
      <c r="J7" s="22" t="inlineStr">
        <is>
          <t>docs/bridge.md · ios/Honoured/HealthMetric.swift</t>
        </is>
      </c>
      <c r="K7" s="22" t="inlineStr">
        <is>
          <t>Nine identifiers cover the seven spec data types: distance split into walking/running, cycling, swimming; active and basal energy both read.</t>
        </is>
      </c>
    </row>
    <row r="8" ht="72" customHeight="1">
      <c r="A8" s="23" t="inlineStr">
        <is>
          <t>M1-04</t>
        </is>
      </c>
      <c r="B8" s="24" t="inlineStr">
        <is>
          <t>M1</t>
        </is>
      </c>
      <c r="C8" s="24" t="inlineStr">
        <is>
          <t>Scope lock</t>
        </is>
      </c>
      <c r="D8" s="24" t="inlineStr">
        <is>
          <t>Confirm the four client decisions in writing</t>
        </is>
      </c>
      <c r="E8" s="24" t="inlineStr">
        <is>
          <t>Ops</t>
        </is>
      </c>
      <c r="F8" s="24" t="n">
        <v>1</v>
      </c>
      <c r="G8" s="24" t="n"/>
      <c r="H8" s="24" t="inlineStr">
        <is>
          <t>Done</t>
        </is>
      </c>
      <c r="I8" s="24" t="inlineStr">
        <is>
          <t>Written confirmation on notifications, Dynamic Island, sleep, Apple-only sign-in</t>
        </is>
      </c>
      <c r="J8" s="24" t="inlineStr">
        <is>
          <t>Client message, Sep 10</t>
        </is>
      </c>
      <c r="K8" s="24" t="inlineStr">
        <is>
          <t>Confirmed: local notifications, Dynamic Island deferred to M3, sleep hidden when empty, Sign in with Apple only for V1.1.</t>
        </is>
      </c>
    </row>
    <row r="9" ht="72" customHeight="1">
      <c r="A9" s="21" t="inlineStr">
        <is>
          <t>N-01</t>
        </is>
      </c>
      <c r="B9" s="22" t="inlineStr">
        <is>
          <t>M2</t>
        </is>
      </c>
      <c r="C9" s="22" t="inlineStr">
        <is>
          <t>Week 1</t>
        </is>
      </c>
      <c r="D9" s="22" t="inlineStr">
        <is>
          <t>Bridge v2 scaffolding + event queue for pre-load events</t>
        </is>
      </c>
      <c r="E9" s="22" t="inlineStr">
        <is>
          <t>Native</t>
        </is>
      </c>
      <c r="F9" s="22" t="n">
        <v>4</v>
      </c>
      <c r="G9" s="22" t="n"/>
      <c r="H9" s="22" t="inlineStr">
        <is>
          <t>Done</t>
        </is>
      </c>
      <c r="I9" s="22" t="inlineStr">
        <is>
          <t>New message types round-trip; events fired before web is ready are replayed, not lost</t>
        </is>
      </c>
      <c r="J9" s="22" t="inlineStr">
        <is>
          <t>commit c1b6bed</t>
        </is>
      </c>
      <c r="K9" s="22" t="inlineStr">
        <is>
          <t>bridgeVersion 2, queued broadcasts (bounded to 50, survive a reload), 13 v2 messages stubbed as not_implemented so the web can tell an old build from an incomplete one.</t>
        </is>
      </c>
    </row>
    <row r="10" ht="72" customHeight="1">
      <c r="A10" s="23" t="inlineStr">
        <is>
          <t>N-02</t>
        </is>
      </c>
      <c r="B10" s="24" t="inlineStr">
        <is>
          <t>M2</t>
        </is>
      </c>
      <c r="C10" s="24" t="inlineStr">
        <is>
          <t>Week 1</t>
        </is>
      </c>
      <c r="D10" s="24" t="inlineStr">
        <is>
          <t>Project config: entitlements, Info.plist keys, Apple Developer capabilities</t>
        </is>
      </c>
      <c r="E10" s="24" t="inlineStr">
        <is>
          <t>Native</t>
        </is>
      </c>
      <c r="F10" s="24" t="n">
        <v>5</v>
      </c>
      <c r="G10" s="24" t="n"/>
      <c r="H10" s="24" t="inlineStr">
        <is>
          <t>In progress</t>
        </is>
      </c>
      <c r="I10" s="24" t="inlineStr">
        <is>
          <t>App builds and installs with HealthKit capability enabled on a real device</t>
        </is>
      </c>
      <c r="J10" s="24" t="inlineStr">
        <is>
          <t>commit 571de89 · plutil checks Sep 15 · latest confirmed simulator build Sep 14</t>
        </is>
      </c>
      <c r="K10" s="24" t="inlineStr">
        <is>
          <t>Code configuration and local Supabase public config are complete. Apple portal capability, signing and real-device install remain deferred.</t>
        </is>
      </c>
    </row>
    <row r="11" ht="72" customHeight="1">
      <c r="A11" s="21" t="inlineStr">
        <is>
          <t>N-03</t>
        </is>
      </c>
      <c r="B11" s="22" t="inlineStr">
        <is>
          <t>M2</t>
        </is>
      </c>
      <c r="C11" s="22" t="inlineStr">
        <is>
          <t>Week 1</t>
        </is>
      </c>
      <c r="D11" s="22" t="inlineStr">
        <is>
          <t>HealthKitService — authorisation flow and per-type status</t>
        </is>
      </c>
      <c r="E11" s="22" t="inlineStr">
        <is>
          <t>Native</t>
        </is>
      </c>
      <c r="F11" s="22" t="n">
        <v>6</v>
      </c>
      <c r="G11" s="22" t="n"/>
      <c r="H11" s="22" t="inlineStr">
        <is>
          <t>In progress</t>
        </is>
      </c>
      <c r="I11" s="22" t="inlineStr">
        <is>
          <t>Permission sheet appears; partial grants reported correctly per type</t>
        </is>
      </c>
      <c r="J11" s="22" t="inlineStr">
        <is>
          <t>ios/Honoured/HealthKitService.swift · simulator Sep 15: Health Access sheet shown with read types (ad-hoc signed build, screenshot 03)</t>
        </is>
      </c>
      <c r="K11" s="22" t="inlineStr">
        <is>
          <t>Code complete. Static audit passed Sep 15; real-device permission sheet and partial-grant validation remain deferred. Sep 15: the permission sheet was reproduced on the simulator once the build is ad-hoc signed (CODE_SIGNING_ALLOWED=NO strips simulated entitlements).</t>
        </is>
      </c>
    </row>
    <row r="12" ht="72" customHeight="1">
      <c r="A12" s="23" t="inlineStr">
        <is>
          <t>N-04</t>
        </is>
      </c>
      <c r="B12" s="24" t="inlineStr">
        <is>
          <t>M2</t>
        </is>
      </c>
      <c r="C12" s="24" t="inlineStr">
        <is>
          <t>Week 1</t>
        </is>
      </c>
      <c r="D12" s="24" t="inlineStr">
        <is>
          <t>Data reads — anchored queries for 7 metrics, anchor persistence</t>
        </is>
      </c>
      <c r="E12" s="24" t="inlineStr">
        <is>
          <t>Native</t>
        </is>
      </c>
      <c r="F12" s="24" t="n">
        <v>10</v>
      </c>
      <c r="G12" s="24" t="n"/>
      <c r="H12" s="24" t="inlineStr">
        <is>
          <t>In progress</t>
        </is>
      </c>
      <c r="I12" s="24" t="inlineStr">
        <is>
          <t>Second run returns only new samples; anchors survive an app restart</t>
        </is>
      </c>
      <c r="J12" s="24" t="inlineStr">
        <is>
          <t>ios/Honoured/HealthKitService.swift · static audit Sep 15 · simulator build Sep 14</t>
        </is>
      </c>
      <c r="K12" s="24" t="inlineStr">
        <is>
          <t>Code complete: nine metrics, 30-day initial floor, deletions, source-deduplicated quantity totals, merged overlapping sleep intervals and late historical-day recomputation. Runtime verification needs a signed real-device build.</t>
        </is>
      </c>
    </row>
    <row r="13" ht="32" customHeight="1">
      <c r="A13" s="21" t="inlineStr">
        <is>
          <t>N-05</t>
        </is>
      </c>
      <c r="B13" s="22" t="inlineStr">
        <is>
          <t>M2</t>
        </is>
      </c>
      <c r="C13" s="22" t="inlineStr">
        <is>
          <t>Week 1</t>
        </is>
      </c>
      <c r="D13" s="22" t="inlineStr">
        <is>
          <t>Supabase tables + upsert RPC + daily rollup</t>
        </is>
      </c>
      <c r="E13" s="22" t="inlineStr">
        <is>
          <t>Supabase</t>
        </is>
      </c>
      <c r="F13" s="22" t="n">
        <v>8</v>
      </c>
      <c r="G13" s="22" t="n"/>
      <c r="H13" s="22" t="inlineStr">
        <is>
          <t>Done</t>
        </is>
      </c>
      <c r="I13" s="22" t="inlineStr">
        <is>
          <t>Batch upsert is idempotent; health_daily totals match the Health app</t>
        </is>
      </c>
      <c r="J13" s="22" t="inlineStr">
        <is>
          <t>docs/db/healthkit_v1.sql · Lovable Cloud Sep 14</t>
        </is>
      </c>
      <c r="K13" s="22" t="inlineStr">
        <is>
          <t>Schema, constraints, index, RLS and both authenticated RPCs applied. Idempotent transactional upsert test passed and rolled back.</t>
        </is>
      </c>
    </row>
    <row r="14" ht="32" customHeight="1">
      <c r="A14" s="23" t="inlineStr">
        <is>
          <t>N-06</t>
        </is>
      </c>
      <c r="B14" s="24" t="inlineStr">
        <is>
          <t>M2</t>
        </is>
      </c>
      <c r="C14" s="24" t="inlineStr">
        <is>
          <t>Week 1</t>
        </is>
      </c>
      <c r="D14" s="24" t="inlineStr">
        <is>
          <t>Sync client — batch upload, deleted-sample handling</t>
        </is>
      </c>
      <c r="E14" s="24" t="inlineStr">
        <is>
          <t>Native</t>
        </is>
      </c>
      <c r="F14" s="24" t="n">
        <v>6</v>
      </c>
      <c r="G14" s="24" t="n"/>
      <c r="H14" s="24" t="inlineStr">
        <is>
          <t>In progress</t>
        </is>
      </c>
      <c r="I14" s="24" t="inlineStr">
        <is>
          <t>Deleting a sample in Health removes it from the daily total</t>
        </is>
      </c>
      <c r="J14" s="24" t="inlineStr">
        <is>
          <t>ios/Honoured/HealthSyncClient.swift · account-isolation audit Sep 15</t>
        </is>
      </c>
      <c r="K14" s="24" t="inlineStr">
        <is>
          <t>Upload/deletion handling complete. Batches are bound to their source user and token refresh rejects a different user. End-to-end Health deletion still needs a real device.</t>
        </is>
      </c>
    </row>
    <row r="15" ht="32" customHeight="1">
      <c r="A15" s="21" t="inlineStr">
        <is>
          <t>N-07</t>
        </is>
      </c>
      <c r="B15" s="22" t="inlineStr">
        <is>
          <t>M2</t>
        </is>
      </c>
      <c r="C15" s="22" t="inlineStr">
        <is>
          <t>Week 1</t>
        </is>
      </c>
      <c r="D15" s="22" t="inlineStr">
        <is>
          <t>Offline queue + retry on reconnect</t>
        </is>
      </c>
      <c r="E15" s="22" t="inlineStr">
        <is>
          <t>Native</t>
        </is>
      </c>
      <c r="F15" s="22" t="n">
        <v>4</v>
      </c>
      <c r="G15" s="22" t="n"/>
      <c r="H15" s="22" t="inlineStr">
        <is>
          <t>In progress</t>
        </is>
      </c>
      <c r="I15" s="22" t="inlineStr">
        <is>
          <t>Airplane mode then reconnect syncs everything with no duplicate rows</t>
        </is>
      </c>
      <c r="J15" s="22" t="inlineStr">
        <is>
          <t>ios/Honoured/OfflineHealthQueue.swift · reconnect/retry audit Sep 15</t>
        </is>
      </c>
      <c r="K15" s="22" t="inlineStr">
        <is>
          <t>Atomic disk queue now rolls back failed persistence, reconnect reads new Health data before draining, and capped exponential backoff actually retries. Airplane-mode verification still needs a real device.</t>
        </is>
      </c>
    </row>
    <row r="16" ht="72" customHeight="1">
      <c r="A16" s="23" t="inlineStr">
        <is>
          <t>N-08</t>
        </is>
      </c>
      <c r="B16" s="24" t="inlineStr">
        <is>
          <t>M2</t>
        </is>
      </c>
      <c r="C16" s="24" t="inlineStr">
        <is>
          <t>Week 1</t>
        </is>
      </c>
      <c r="D16" s="24" t="inlineStr">
        <is>
          <t>HealthKit bridge messages (permission, status, query, goals)</t>
        </is>
      </c>
      <c r="E16" s="24" t="inlineStr">
        <is>
          <t>Native</t>
        </is>
      </c>
      <c r="F16" s="24" t="n">
        <v>2</v>
      </c>
      <c r="G16" s="24" t="n"/>
      <c r="H16" s="24" t="inlineStr">
        <is>
          <t>Done</t>
        </is>
      </c>
      <c r="I16" s="24" t="inlineStr">
        <is>
          <t>Web can request permission and read metrics through the bridge</t>
        </is>
      </c>
      <c r="J16" s="24" t="inlineStr">
        <is>
          <t>native + Lovable commit 9c13bdf7e6cf5057717d0eaf671519c354790f85</t>
        </is>
      </c>
      <c r="K16" s="24" t="inlineStr">
        <is>
          <t>Native and Lovable code use the v2 payload contract; Lovable typecheck, 91 tests and production build passed. Public production bundle checked Sep 15 still lacks bridge v2, so the Lovable change is not deployed.</t>
        </is>
      </c>
    </row>
    <row r="17" ht="32" customHeight="1">
      <c r="A17" s="21" t="inlineStr">
        <is>
          <t>N-09</t>
        </is>
      </c>
      <c r="B17" s="22" t="inlineStr">
        <is>
          <t>M2</t>
        </is>
      </c>
      <c r="C17" s="22" t="inlineStr">
        <is>
          <t>Week 2</t>
        </is>
      </c>
      <c r="D17" s="22" t="inlineStr">
        <is>
          <t>Background delivery — observer queries, hourly frequency</t>
        </is>
      </c>
      <c r="E17" s="22" t="inlineStr">
        <is>
          <t>Native</t>
        </is>
      </c>
      <c r="F17" s="22" t="n">
        <v>7</v>
      </c>
      <c r="G17" s="22" t="n"/>
      <c r="H17" s="22" t="inlineStr">
        <is>
          <t>In progress</t>
        </is>
      </c>
      <c r="I17" s="22" t="inlineStr">
        <is>
          <t>App syncs while backgrounded without being opened</t>
        </is>
      </c>
      <c r="J17" s="22" t="inlineStr">
        <is>
          <t>ios/Honoured/HealthBackgroundObserver.swift, HonouredAppDelegate.swift, HealthSyncCoordinator.swift · typecheck + simulator build Sep 15 · docs/bridge.md "Background sync"</t>
        </is>
      </c>
      <c r="K17" s="22" t="inlineStr">
        <is>
          <t>Code complete. HKObserverQuery per metric registered synchronously in didFinishLaunching; enableBackgroundDelivery(.hourly) idempotent per metric, disabled on CLEAR_AUTH_SESSION. Collection (anchored read → offline queue → anchor commit) is separated from upload, so the HealthKit completion handler never waits on network retries; background wakes attempt one upload only. Pending-signal marker survives process suspension and is retried on foreground / protected-data availability. Real-device verification (wake while backgrounded, first-unlock deferral) needs Apple capability + signing.</t>
        </is>
      </c>
    </row>
    <row r="18" ht="32" customHeight="1">
      <c r="A18" s="23" t="inlineStr">
        <is>
          <t>N-10</t>
        </is>
      </c>
      <c r="B18" s="24" t="inlineStr">
        <is>
          <t>M2</t>
        </is>
      </c>
      <c r="C18" s="24" t="inlineStr">
        <is>
          <t>Week 2</t>
        </is>
      </c>
      <c r="D18" s="24" t="inlineStr">
        <is>
          <t>BGTaskScheduler fallback path</t>
        </is>
      </c>
      <c r="E18" s="24" t="inlineStr">
        <is>
          <t>Native</t>
        </is>
      </c>
      <c r="F18" s="24" t="n">
        <v>4</v>
      </c>
      <c r="G18" s="24" t="n"/>
      <c r="H18" s="24" t="inlineStr">
        <is>
          <t>In progress</t>
        </is>
      </c>
      <c r="I18" s="24" t="inlineStr">
        <is>
          <t>Scheduled refresh runs when the observer does not fire</t>
        </is>
      </c>
      <c r="J18" s="24" t="inlineStr">
        <is>
          <t>ios/Honoured/HealthBackgroundRefresh.swift, HonouredAppDelegate.swift, Info.plist · typecheck + simulator build Sep 15 · docs/bridge.md "Background sync"</t>
        </is>
      </c>
      <c r="K18" s="24" t="inlineStr">
        <is>
          <t>Code complete. BGAppRefreshTask registered before launch finishes, rescheduled at the start of each run and on every background transition, cancelled when the session is cleared or no HealthKit is available. Runs the same collect-then-drain pass as the observer path with a single upload attempt; expiration cancels the work and completion is guaranteed exactly once. Also fixed the N-09 foreground retry: SwiftUI uses the scene lifecycle, so app-delegate active callbacks never fired; now driven by UIApplication notifications. Removed the unused "processing" background mode. Real scheduling behaviour needs a device; the simulator only supports the LLDB launch trigger.</t>
        </is>
      </c>
    </row>
    <row r="19" ht="32" customHeight="1">
      <c r="A19" s="21" t="inlineStr">
        <is>
          <t>N-11</t>
        </is>
      </c>
      <c r="B19" s="22" t="inlineStr">
        <is>
          <t>M2</t>
        </is>
      </c>
      <c r="C19" s="22" t="inlineStr">
        <is>
          <t>Week 2</t>
        </is>
      </c>
      <c r="D19" s="22" t="inlineStr">
        <is>
          <t>Notification infrastructure and permission timing</t>
        </is>
      </c>
      <c r="E19" s="22" t="inlineStr">
        <is>
          <t>Native</t>
        </is>
      </c>
      <c r="F19" s="22" t="n">
        <v>4</v>
      </c>
      <c r="G19" s="22" t="n"/>
      <c r="H19" s="22" t="inlineStr">
        <is>
          <t>In progress</t>
        </is>
      </c>
      <c r="I19" s="22" t="inlineStr">
        <is>
          <t>Permission is asked on first timer use, not at app launch</t>
        </is>
      </c>
      <c r="J19" s="22" t="inlineStr">
        <is>
          <t>ios/Honoured/NotificationCoordinator.swift · simulator Sep 15: permission sheet appears after first START_TIMER, not at launch (screenshot 01)</t>
        </is>
      </c>
      <c r="K19" s="22" t="inlineStr">
        <is>
          <t>Code complete and simulator-verified: UNUserNotificationCenter delegate installed at launch; permission requested only when notDetermined, after the reply to the first START_TIMER or non-empty SET_GOALS, never at launch and never re-prompted. Foreground notifications are suppressed so the web app runs the in-app celebration. Device check pending.</t>
        </is>
      </c>
    </row>
    <row r="20" ht="32" customHeight="1">
      <c r="A20" s="23" t="inlineStr">
        <is>
          <t>N-12</t>
        </is>
      </c>
      <c r="B20" s="24" t="inlineStr">
        <is>
          <t>M2</t>
        </is>
      </c>
      <c r="C20" s="24" t="inlineStr">
        <is>
          <t>Week 2</t>
        </is>
      </c>
      <c r="D20" s="24" t="inlineStr">
        <is>
          <t>Native Testament Timer — schedule and cancel</t>
        </is>
      </c>
      <c r="E20" s="24" t="inlineStr">
        <is>
          <t>Native</t>
        </is>
      </c>
      <c r="F20" s="24" t="n">
        <v>8</v>
      </c>
      <c r="G20" s="24" t="n"/>
      <c r="H20" s="24" t="inlineStr">
        <is>
          <t>In progress</t>
        </is>
      </c>
      <c r="I20" s="24" t="inlineStr">
        <is>
          <t>Countdown survives backgrounding; cancelling removes the pending notification</t>
        </is>
      </c>
      <c r="J20" s="24" t="inlineStr">
        <is>
          <t>ios/Honoured/TestamentTimer.swift · simulator scenario 18/18 PASS + background banner + cold-start flush Sep 15 (outputs/week2-timer-20260915) · docs/bridge.md timer rules</t>
        </is>
      </c>
      <c r="K20" s="24" t="inlineStr">
        <is>
          <t>Code complete and simulator-verified. One persisted timer; START/CANCEL/GET_TIMER_STATE; replacing a timer broadcasts TIMER_CANCELLED first; CANCEL is idempotent; completion is emitted exactly once whether the deadline is hit in-app (notified:false), in the background (banner shown, notified:true on return) or across a relaunch (delivered from the durable queue). Remaining: notification-tap deep link check, lock-screen test on a device, gong (N-15), client sign-off on notification copy.</t>
        </is>
      </c>
    </row>
    <row r="21" ht="32" customHeight="1">
      <c r="A21" s="21" t="inlineStr">
        <is>
          <t>N-13</t>
        </is>
      </c>
      <c r="B21" s="22" t="inlineStr">
        <is>
          <t>M2</t>
        </is>
      </c>
      <c r="C21" s="22" t="inlineStr">
        <is>
          <t>Week 2</t>
        </is>
      </c>
      <c r="D21" s="22" t="inlineStr">
        <is>
          <t>Background goal detection, once per activity per day</t>
        </is>
      </c>
      <c r="E21" s="22" t="inlineStr">
        <is>
          <t>Native</t>
        </is>
      </c>
      <c r="F21" s="22" t="n">
        <v>8</v>
      </c>
      <c r="G21" s="22" t="n"/>
      <c r="H21" s="22" t="inlineStr">
        <is>
          <t>In progress</t>
        </is>
      </c>
      <c r="I21" s="22" t="inlineStr">
        <is>
          <t>Crossing a goal while backgrounded notifies exactly once</t>
        </is>
      </c>
      <c r="J21" s="22" t="inlineStr">
        <is>
          <t>ios/Honoured/GoalMonitor.swift · simulator scenario 11/11 PASS Sep 15 (outputs/week2-goals-20260915) · docs/bridge.md "How native decides"</t>
        </is>
      </c>
      <c r="K21" s="22" t="inlineStr">
        <is>
          <t>Code complete and simulator-verified with injected totals: goals compared against today's source-deduplicated totals after every pass that read new samples (before the HealthKit completion is acknowledged), after SET_GOALS and after a reset-hour change; one persisted marker per activity per health day; ACTIVITY_COMPLETED suppresses native announcements for that activity; reset-hour change re-evaluates in-app only. Remaining: the background branch (notification + notified:true) needs a device with real Health data.</t>
        </is>
      </c>
    </row>
    <row r="22" ht="32" customHeight="1">
      <c r="A22" s="23" t="inlineStr">
        <is>
          <t>N-14</t>
        </is>
      </c>
      <c r="B22" s="24" t="inlineStr">
        <is>
          <t>M2</t>
        </is>
      </c>
      <c r="C22" s="24" t="inlineStr">
        <is>
          <t>Week 2</t>
        </is>
      </c>
      <c r="D22" s="24" t="inlineStr">
        <is>
          <t>Notification deep link into the completed activity</t>
        </is>
      </c>
      <c r="E22" s="24" t="inlineStr">
        <is>
          <t>Native</t>
        </is>
      </c>
      <c r="F22" s="24" t="n">
        <v>3</v>
      </c>
      <c r="G22" s="24" t="n"/>
      <c r="H22" s="24" t="inlineStr">
        <is>
          <t>In progress</t>
        </is>
      </c>
      <c r="I22" s="24" t="inlineStr">
        <is>
          <t>Tapping the notification opens the right activity, including from cold start</t>
        </is>
      </c>
      <c r="J22" s="24" t="inlineStr">
        <is>
          <t>ios/Honoured/NativeEventStore.swift, NativeBridge.swift · typecheck + simulator build Sep 15 · docs/bridge.md event queue</t>
        </is>
      </c>
      <c r="K22" s="24" t="inlineStr">
        <is>
          <t>Foundation complete. Notification taps post NOTIFICATION_OPENED { kind, activityId } through a durable, bounded on-disk event store that survives cold start and background launches; it is flushed exactly once, merged by time with the in-memory queue, after the web app is ready, and cleared on sign-out or user switch. Remaining: web-side navigation on NOTIFICATION_OPENED and a cold-start tap test on a device.</t>
        </is>
      </c>
    </row>
    <row r="23" ht="32" customHeight="1">
      <c r="A23" s="21" t="inlineStr">
        <is>
          <t>N-15</t>
        </is>
      </c>
      <c r="B23" s="22" t="inlineStr">
        <is>
          <t>M2</t>
        </is>
      </c>
      <c r="C23" s="22" t="inlineStr">
        <is>
          <t>Week 2</t>
        </is>
      </c>
      <c r="D23" s="22" t="inlineStr">
        <is>
          <t>Gong sound, silent-switch respected, settings toggle</t>
        </is>
      </c>
      <c r="E23" s="22" t="inlineStr">
        <is>
          <t>Native</t>
        </is>
      </c>
      <c r="F23" s="22" t="n">
        <v>6</v>
      </c>
      <c r="G23" s="22" t="n"/>
      <c r="H23" s="22" t="inlineStr">
        <is>
          <t>In progress</t>
        </is>
      </c>
      <c r="I23" s="22" t="inlineStr">
        <is>
          <t>Silent mode stays silent; the setting defaults to off</t>
        </is>
      </c>
      <c r="J23" s="22" t="inlineStr">
        <is>
          <t>ios/Honoured/NotificationSound.swift · simulator scenario 5/5 PASS Sep 15 (outputs/week2-sound-20260915) · docs/bridge.md sound rules</t>
        </is>
      </c>
      <c r="K23" s="22" t="inlineStr">
        <is>
          <t>Code complete and simulator-verified: SET_SOUND_ENABLED persisted (default off), SOUND_STATE reports whether the gong asset is bundled, timer and goal notifications carry the sound only when enabled, a running timer keeps its endsAt when toggled, audio session set to ambient at launch. Waiting on the approved gong file (.caf/.aiff/.wav &lt; 30 s); until then an enabled setting uses the system default sound. Silent-switch behaviour needs a device. Web must play its in-app gong via Web Audio (AudioContext), see bridge.md.</t>
        </is>
      </c>
    </row>
    <row r="24" ht="32" customHeight="1">
      <c r="A24" s="23" t="inlineStr">
        <is>
          <t>N-16</t>
        </is>
      </c>
      <c r="B24" s="24" t="inlineStr">
        <is>
          <t>M2</t>
        </is>
      </c>
      <c r="C24" s="24" t="inlineStr">
        <is>
          <t>Week 2</t>
        </is>
      </c>
      <c r="D24" s="24" t="inlineStr">
        <is>
          <t>Sign in with Apple — nonce, token hand-off to Supabase</t>
        </is>
      </c>
      <c r="E24" s="24" t="inlineStr">
        <is>
          <t>Native</t>
        </is>
      </c>
      <c r="F24" s="24" t="n">
        <v>10</v>
      </c>
      <c r="G24" s="24" t="n"/>
      <c r="H24" s="24" t="inlineStr">
        <is>
          <t>Not started</t>
        </is>
      </c>
      <c r="I24" s="24" t="inlineStr">
        <is>
          <t>Linking from an anonymous account keeps all previously synced data</t>
        </is>
      </c>
      <c r="J24" s="24" t="inlineStr"/>
      <c r="K24" s="24" t="inlineStr"/>
    </row>
    <row r="25" ht="32" customHeight="1">
      <c r="A25" s="21" t="inlineStr">
        <is>
          <t>N-17</t>
        </is>
      </c>
      <c r="B25" s="22" t="inlineStr">
        <is>
          <t>M2</t>
        </is>
      </c>
      <c r="C25" s="22" t="inlineStr">
        <is>
          <t>Week 3</t>
        </is>
      </c>
      <c r="D25" s="22" t="inlineStr">
        <is>
          <t>QA — HealthKit permission matrix</t>
        </is>
      </c>
      <c r="E25" s="22" t="inlineStr">
        <is>
          <t>QA</t>
        </is>
      </c>
      <c r="F25" s="22" t="n">
        <v>8</v>
      </c>
      <c r="G25" s="22" t="n"/>
      <c r="H25" s="22" t="inlineStr">
        <is>
          <t>Not started</t>
        </is>
      </c>
      <c r="I25" s="22" t="inlineStr">
        <is>
          <t>Denied, partial, revoked and no-data devices all behave sensibly</t>
        </is>
      </c>
      <c r="J25" s="22" t="inlineStr"/>
      <c r="K25" s="22" t="inlineStr"/>
    </row>
    <row r="26" ht="32" customHeight="1">
      <c r="A26" s="23" t="inlineStr">
        <is>
          <t>N-18</t>
        </is>
      </c>
      <c r="B26" s="24" t="inlineStr">
        <is>
          <t>M2</t>
        </is>
      </c>
      <c r="C26" s="24" t="inlineStr">
        <is>
          <t>Week 3</t>
        </is>
      </c>
      <c r="D26" s="24" t="inlineStr">
        <is>
          <t>QA — background, offline, timezone and midnight edge cases</t>
        </is>
      </c>
      <c r="E26" s="24" t="inlineStr">
        <is>
          <t>QA</t>
        </is>
      </c>
      <c r="F26" s="24" t="n">
        <v>8</v>
      </c>
      <c r="G26" s="24" t="n"/>
      <c r="H26" s="24" t="inlineStr">
        <is>
          <t>Not started</t>
        </is>
      </c>
      <c r="I26" s="24" t="inlineStr">
        <is>
          <t>No data loss or duplication across the tested scenarios</t>
        </is>
      </c>
      <c r="J26" s="24" t="inlineStr"/>
      <c r="K26" s="24" t="inlineStr"/>
    </row>
    <row r="27" ht="32" customHeight="1">
      <c r="A27" s="21" t="inlineStr">
        <is>
          <t>N-19</t>
        </is>
      </c>
      <c r="B27" s="22" t="inlineStr">
        <is>
          <t>M2</t>
        </is>
      </c>
      <c r="C27" s="22" t="inlineStr">
        <is>
          <t>Week 3</t>
        </is>
      </c>
      <c r="D27" s="22" t="inlineStr">
        <is>
          <t>Bug fixes arising from QA</t>
        </is>
      </c>
      <c r="E27" s="22" t="inlineStr">
        <is>
          <t>Native</t>
        </is>
      </c>
      <c r="F27" s="22" t="n">
        <v>10</v>
      </c>
      <c r="G27" s="22" t="n"/>
      <c r="H27" s="22" t="inlineStr">
        <is>
          <t>Not started</t>
        </is>
      </c>
      <c r="I27" s="22" t="inlineStr">
        <is>
          <t>No known blocker defects remain</t>
        </is>
      </c>
      <c r="J27" s="22" t="inlineStr"/>
      <c r="K27" s="22" t="inlineStr"/>
    </row>
    <row r="28" ht="32" customHeight="1">
      <c r="A28" s="23" t="inlineStr">
        <is>
          <t>N-20</t>
        </is>
      </c>
      <c r="B28" s="24" t="inlineStr">
        <is>
          <t>M2</t>
        </is>
      </c>
      <c r="C28" s="24" t="inlineStr">
        <is>
          <t>Week 3</t>
        </is>
      </c>
      <c r="D28" s="24" t="inlineStr">
        <is>
          <t>App Store prep — privacy labels, policy, HealthKit review notes</t>
        </is>
      </c>
      <c r="E28" s="24" t="inlineStr">
        <is>
          <t>Ops</t>
        </is>
      </c>
      <c r="F28" s="24" t="n">
        <v>5</v>
      </c>
      <c r="G28" s="24" t="n"/>
      <c r="H28" s="24" t="inlineStr">
        <is>
          <t>Not started</t>
        </is>
      </c>
      <c r="I28" s="24" t="inlineStr">
        <is>
          <t>Privacy nutrition label and policy published before submission</t>
        </is>
      </c>
      <c r="J28" s="24" t="inlineStr"/>
      <c r="K28" s="24" t="inlineStr"/>
    </row>
    <row r="29" ht="32" customHeight="1">
      <c r="A29" s="21" t="inlineStr">
        <is>
          <t>N-21</t>
        </is>
      </c>
      <c r="B29" s="22" t="inlineStr">
        <is>
          <t>M2</t>
        </is>
      </c>
      <c r="C29" s="22" t="inlineStr">
        <is>
          <t>Week 3</t>
        </is>
      </c>
      <c r="D29" s="22" t="inlineStr">
        <is>
          <t>TestFlight build and device smoke test</t>
        </is>
      </c>
      <c r="E29" s="22" t="inlineStr">
        <is>
          <t>QA</t>
        </is>
      </c>
      <c r="F29" s="22" t="n">
        <v>4</v>
      </c>
      <c r="G29" s="22" t="n"/>
      <c r="H29" s="22" t="inlineStr">
        <is>
          <t>Not started</t>
        </is>
      </c>
      <c r="I29" s="22" t="inlineStr">
        <is>
          <t>Client can install the build from TestFlight</t>
        </is>
      </c>
      <c r="J29" s="22" t="inlineStr"/>
      <c r="K29" s="22" t="inlineStr"/>
    </row>
    <row r="30" ht="32" customHeight="1">
      <c r="A30" s="23" t="inlineStr">
        <is>
          <t>N-22</t>
        </is>
      </c>
      <c r="B30" s="24" t="inlineStr">
        <is>
          <t>M2</t>
        </is>
      </c>
      <c r="C30" s="24" t="inlineStr">
        <is>
          <t>Week 3</t>
        </is>
      </c>
      <c r="D30" s="24" t="inlineStr">
        <is>
          <t>App Store submission and review responses</t>
        </is>
      </c>
      <c r="E30" s="24" t="inlineStr">
        <is>
          <t>Ops</t>
        </is>
      </c>
      <c r="F30" s="24" t="n">
        <v>5</v>
      </c>
      <c r="G30" s="24" t="n"/>
      <c r="H30" s="24" t="inlineStr">
        <is>
          <t>Not started</t>
        </is>
      </c>
      <c r="I30" s="24" t="inlineStr">
        <is>
          <t>Build submitted; review feedback answered</t>
        </is>
      </c>
      <c r="J30" s="24" t="inlineStr"/>
      <c r="K30" s="24" t="inlineStr"/>
    </row>
    <row r="31" ht="32" customHeight="1">
      <c r="A31" s="21" t="inlineStr">
        <is>
          <t>N-23</t>
        </is>
      </c>
      <c r="B31" s="22" t="inlineStr">
        <is>
          <t>M3</t>
        </is>
      </c>
      <c r="C31" s="22" t="inlineStr">
        <is>
          <t>Week 4</t>
        </is>
      </c>
      <c r="D31" s="22" t="inlineStr">
        <is>
          <t>Widget Extension target + App Group</t>
        </is>
      </c>
      <c r="E31" s="22" t="inlineStr">
        <is>
          <t>Native</t>
        </is>
      </c>
      <c r="F31" s="22" t="n">
        <v>6</v>
      </c>
      <c r="G31" s="22" t="n"/>
      <c r="H31" s="22" t="inlineStr">
        <is>
          <t>Not started</t>
        </is>
      </c>
      <c r="I31" s="22" t="inlineStr">
        <is>
          <t>Extension builds and shares state with the app</t>
        </is>
      </c>
      <c r="J31" s="22" t="inlineStr"/>
      <c r="K31" s="22" t="inlineStr"/>
    </row>
    <row r="32" ht="32" customHeight="1">
      <c r="A32" s="23" t="inlineStr">
        <is>
          <t>N-24</t>
        </is>
      </c>
      <c r="B32" s="24" t="inlineStr">
        <is>
          <t>M3</t>
        </is>
      </c>
      <c r="C32" s="24" t="inlineStr">
        <is>
          <t>Week 4</t>
        </is>
      </c>
      <c r="D32" s="24" t="inlineStr">
        <is>
          <t>Live Activity UI — compact, minimal and expanded states</t>
        </is>
      </c>
      <c r="E32" s="24" t="inlineStr">
        <is>
          <t>Native</t>
        </is>
      </c>
      <c r="F32" s="24" t="n">
        <v>8</v>
      </c>
      <c r="G32" s="24" t="n"/>
      <c r="H32" s="24" t="inlineStr">
        <is>
          <t>Not started</t>
        </is>
      </c>
      <c r="I32" s="24" t="inlineStr">
        <is>
          <t>All four presentations render correctly on a real device</t>
        </is>
      </c>
      <c r="J32" s="24" t="inlineStr"/>
      <c r="K32" s="24" t="inlineStr"/>
    </row>
    <row r="33" ht="32" customHeight="1">
      <c r="A33" s="21" t="inlineStr">
        <is>
          <t>N-25</t>
        </is>
      </c>
      <c r="B33" s="22" t="inlineStr">
        <is>
          <t>M3</t>
        </is>
      </c>
      <c r="C33" s="22" t="inlineStr">
        <is>
          <t>Week 4</t>
        </is>
      </c>
      <c r="D33" s="22" t="inlineStr">
        <is>
          <t>Live Activity lifecycle — start, update, end</t>
        </is>
      </c>
      <c r="E33" s="22" t="inlineStr">
        <is>
          <t>Native</t>
        </is>
      </c>
      <c r="F33" s="22" t="n">
        <v>6</v>
      </c>
      <c r="G33" s="22" t="n"/>
      <c r="H33" s="22" t="inlineStr">
        <is>
          <t>Not started</t>
        </is>
      </c>
      <c r="I33" s="22" t="inlineStr">
        <is>
          <t>Activity starts with the timer and clears itself after completion</t>
        </is>
      </c>
      <c r="J33" s="22" t="inlineStr"/>
      <c r="K33" s="22" t="inlineStr"/>
    </row>
    <row r="34" ht="32" customHeight="1">
      <c r="A34" s="23" t="inlineStr">
        <is>
          <t>N-26</t>
        </is>
      </c>
      <c r="B34" s="24" t="inlineStr">
        <is>
          <t>M3</t>
        </is>
      </c>
      <c r="C34" s="24" t="inlineStr">
        <is>
          <t>Week 5</t>
        </is>
      </c>
      <c r="D34" s="24" t="inlineStr">
        <is>
          <t>Three-blink completion effect</t>
        </is>
      </c>
      <c r="E34" s="24" t="inlineStr">
        <is>
          <t>Native</t>
        </is>
      </c>
      <c r="F34" s="24" t="n">
        <v>4</v>
      </c>
      <c r="G34" s="24" t="n"/>
      <c r="H34" s="24" t="inlineStr">
        <is>
          <t>Not started</t>
        </is>
      </c>
      <c r="I34" s="24" t="inlineStr">
        <is>
          <t>Logo blinks three times on completion, within ActivityKit update limits</t>
        </is>
      </c>
      <c r="J34" s="24" t="inlineStr"/>
      <c r="K34" s="24" t="inlineStr"/>
    </row>
    <row r="35" ht="32" customHeight="1">
      <c r="A35" s="21" t="inlineStr">
        <is>
          <t>N-27</t>
        </is>
      </c>
      <c r="B35" s="22" t="inlineStr">
        <is>
          <t>M3</t>
        </is>
      </c>
      <c r="C35" s="22" t="inlineStr">
        <is>
          <t>Week 5</t>
        </is>
      </c>
      <c r="D35" s="22" t="inlineStr">
        <is>
          <t>Hook Live Activity to HealthKit goal completion</t>
        </is>
      </c>
      <c r="E35" s="22" t="inlineStr">
        <is>
          <t>Native</t>
        </is>
      </c>
      <c r="F35" s="22" t="n">
        <v>4</v>
      </c>
      <c r="G35" s="22" t="n"/>
      <c r="H35" s="22" t="inlineStr">
        <is>
          <t>Not started</t>
        </is>
      </c>
      <c r="I35" s="22" t="inlineStr">
        <is>
          <t>Reaching a HealthKit goal triggers the same celebration as the timer</t>
        </is>
      </c>
      <c r="J35" s="22" t="inlineStr"/>
      <c r="K35" s="22" t="inlineStr"/>
    </row>
    <row r="36" ht="32" customHeight="1">
      <c r="A36" s="23" t="inlineStr">
        <is>
          <t>N-28</t>
        </is>
      </c>
      <c r="B36" s="24" t="inlineStr">
        <is>
          <t>M3</t>
        </is>
      </c>
      <c r="C36" s="24" t="inlineStr">
        <is>
          <t>Week 5</t>
        </is>
      </c>
      <c r="D36" s="24" t="inlineStr">
        <is>
          <t>Google Sign-In alongside Apple</t>
        </is>
      </c>
      <c r="E36" s="24" t="inlineStr">
        <is>
          <t>Native</t>
        </is>
      </c>
      <c r="F36" s="24" t="n">
        <v>8</v>
      </c>
      <c r="G36" s="24" t="n"/>
      <c r="H36" s="24" t="inlineStr">
        <is>
          <t>Not started</t>
        </is>
      </c>
      <c r="I36" s="24" t="inlineStr">
        <is>
          <t>Google sign-in works and does not break the Apple flow</t>
        </is>
      </c>
      <c r="J36" s="24" t="inlineStr"/>
      <c r="K36" s="24" t="inlineStr"/>
    </row>
    <row r="37" ht="32" customHeight="1">
      <c r="A37" s="21" t="inlineStr">
        <is>
          <t>N-29</t>
        </is>
      </c>
      <c r="B37" s="22" t="inlineStr">
        <is>
          <t>M3</t>
        </is>
      </c>
      <c r="C37" s="22" t="inlineStr">
        <is>
          <t>Week 5</t>
        </is>
      </c>
      <c r="D37" s="22" t="inlineStr">
        <is>
          <t>QA and submit the update</t>
        </is>
      </c>
      <c r="E37" s="22" t="inlineStr">
        <is>
          <t>QA</t>
        </is>
      </c>
      <c r="F37" s="22" t="n">
        <v>4</v>
      </c>
      <c r="G37" s="22" t="n"/>
      <c r="H37" s="22" t="inlineStr">
        <is>
          <t>Not started</t>
        </is>
      </c>
      <c r="I37" s="22" t="inlineStr">
        <is>
          <t>Update submitted to the App Store</t>
        </is>
      </c>
      <c r="J37" s="22" t="inlineStr"/>
      <c r="K37" s="22" t="inlineStr"/>
    </row>
    <row r="38">
      <c r="A38" s="10" t="n"/>
      <c r="B38" s="10" t="n"/>
      <c r="C38" s="10" t="n"/>
      <c r="D38" s="9" t="inlineStr">
        <is>
          <t>Total</t>
        </is>
      </c>
      <c r="E38" s="10" t="n"/>
      <c r="F38" s="9">
        <f>SUM(F5:F37)</f>
        <v/>
      </c>
      <c r="G38" s="9">
        <f>SUM(G5:G37)</f>
        <v/>
      </c>
      <c r="H38" s="10" t="n"/>
      <c r="I38" s="10" t="n"/>
      <c r="J38" s="10" t="n"/>
      <c r="K38" s="10" t="n"/>
    </row>
  </sheetData>
  <conditionalFormatting sqref="H5:H37">
    <cfRule type="cellIs" priority="1" operator="equal" dxfId="0">
      <formula>"Done"</formula>
    </cfRule>
    <cfRule type="cellIs" priority="2" operator="equal" dxfId="1">
      <formula>"In progress"</formula>
    </cfRule>
    <cfRule type="cellIs" priority="3" operator="equal" dxfId="2">
      <formula>"Blocked"</formula>
    </cfRule>
    <cfRule type="cellIs" priority="4" operator="equal" dxfId="3">
      <formula>"Deferred"</formula>
    </cfRule>
  </conditionalFormatting>
  <dataValidations count="1">
    <dataValidation sqref="H5:H37" showDropDown="0" showInputMessage="0" showErrorMessage="0" allowBlank="1" type="list">
      <formula1>"Not started,In progress,Done,Blocked,Deferred"</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35"/>
  <sheetViews>
    <sheetView showGridLines="0" workbookViewId="0">
      <pane ySplit="4" topLeftCell="A5" activePane="bottomLeft" state="frozen"/>
      <selection activeCell="A1" sqref="A1"/>
    </sheetView>
  </sheetViews>
  <sheetFormatPr baseColWidth="8" defaultRowHeight="15"/>
  <cols>
    <col width="14" customWidth="1" min="1" max="1"/>
    <col width="12" customWidth="1" min="2" max="2"/>
    <col width="12" customWidth="1" min="3" max="3"/>
    <col width="44" customWidth="1" min="4" max="4"/>
    <col width="30" customWidth="1" min="5" max="5"/>
    <col width="34" customWidth="1" min="6" max="6"/>
  </cols>
  <sheetData>
    <row r="1">
      <c r="A1" s="20" t="inlineStr">
        <is>
          <t>Build Screenshots</t>
        </is>
      </c>
    </row>
    <row r="2">
      <c r="A2" s="2" t="inlineStr">
        <is>
          <t>One entry per screenshot or screen recording, dated and tagged to the task it belongs to.</t>
        </is>
      </c>
    </row>
    <row r="4" ht="28" customHeight="1">
      <c r="A4" s="4" t="inlineStr">
        <is>
          <t>Date</t>
        </is>
      </c>
      <c r="B4" s="4" t="inlineStr">
        <is>
          <t>Week</t>
        </is>
      </c>
      <c r="C4" s="4" t="inlineStr">
        <is>
          <t>Task ID</t>
        </is>
      </c>
      <c r="D4" s="4" t="inlineStr">
        <is>
          <t>What it shows</t>
        </is>
      </c>
      <c r="E4" s="4" t="inlineStr">
        <is>
          <t>Preview</t>
        </is>
      </c>
      <c r="F4" s="4" t="inlineStr">
        <is>
          <t>Link</t>
        </is>
      </c>
    </row>
    <row r="5" ht="330" customHeight="1">
      <c r="A5" s="22" t="inlineStr">
        <is>
          <t>Sep 13</t>
        </is>
      </c>
      <c r="B5" s="22" t="inlineStr">
        <is>
          <t>Week 1</t>
        </is>
      </c>
      <c r="C5" s="22" t="inlineStr">
        <is>
          <t>N-02</t>
        </is>
      </c>
      <c r="D5" s="22" t="inlineStr">
        <is>
          <t>App shell running on the iPhone 17 Pro simulator after the HealthKit entitlements, Info.plist and bridge v2 changes. The web app renders normally — no error state.</t>
        </is>
      </c>
      <c r="E5" s="22" t="n"/>
      <c r="F5" s="22" t="inlineStr"/>
    </row>
    <row r="6" ht="120" customHeight="1">
      <c r="A6" s="24" t="n"/>
      <c r="B6" s="24" t="n"/>
      <c r="C6" s="24" t="n"/>
      <c r="D6" s="24" t="n"/>
      <c r="E6" s="24" t="n"/>
      <c r="F6" s="24" t="n"/>
    </row>
    <row r="7" ht="120" customHeight="1">
      <c r="A7" s="22" t="n"/>
      <c r="B7" s="22" t="n"/>
      <c r="C7" s="22" t="n"/>
      <c r="D7" s="22" t="n"/>
      <c r="E7" s="22" t="n"/>
      <c r="F7" s="22" t="n"/>
    </row>
    <row r="8" ht="120" customHeight="1">
      <c r="A8" s="24" t="n"/>
      <c r="B8" s="24" t="n"/>
      <c r="C8" s="24" t="n"/>
      <c r="D8" s="24" t="n"/>
      <c r="E8" s="24" t="n"/>
      <c r="F8" s="24" t="n"/>
    </row>
    <row r="9" ht="120" customHeight="1">
      <c r="A9" s="22" t="n"/>
      <c r="B9" s="22" t="n"/>
      <c r="C9" s="22" t="n"/>
      <c r="D9" s="22" t="n"/>
      <c r="E9" s="22" t="n"/>
      <c r="F9" s="22" t="n"/>
    </row>
    <row r="10" ht="120" customHeight="1">
      <c r="A10" s="24" t="n"/>
      <c r="B10" s="24" t="n"/>
      <c r="C10" s="24" t="n"/>
      <c r="D10" s="24" t="n"/>
      <c r="E10" s="24" t="n"/>
      <c r="F10" s="24" t="n"/>
    </row>
    <row r="11" ht="120" customHeight="1">
      <c r="A11" s="22" t="n"/>
      <c r="B11" s="22" t="n"/>
      <c r="C11" s="22" t="n"/>
      <c r="D11" s="22" t="n"/>
      <c r="E11" s="22" t="n"/>
      <c r="F11" s="22" t="n"/>
    </row>
    <row r="12" ht="120" customHeight="1">
      <c r="A12" s="24" t="n"/>
      <c r="B12" s="24" t="n"/>
      <c r="C12" s="24" t="n"/>
      <c r="D12" s="24" t="n"/>
      <c r="E12" s="24" t="n"/>
      <c r="F12" s="24" t="n"/>
    </row>
    <row r="13" ht="120" customHeight="1">
      <c r="A13" s="22" t="n"/>
      <c r="B13" s="22" t="n"/>
      <c r="C13" s="22" t="n"/>
      <c r="D13" s="22" t="n"/>
      <c r="E13" s="22" t="n"/>
      <c r="F13" s="22" t="n"/>
    </row>
    <row r="14" ht="120" customHeight="1">
      <c r="A14" s="24" t="n"/>
      <c r="B14" s="24" t="n"/>
      <c r="C14" s="24" t="n"/>
      <c r="D14" s="24" t="n"/>
      <c r="E14" s="24" t="n"/>
      <c r="F14" s="24" t="n"/>
    </row>
    <row r="15" ht="120" customHeight="1">
      <c r="A15" s="22" t="n"/>
      <c r="B15" s="22" t="n"/>
      <c r="C15" s="22" t="n"/>
      <c r="D15" s="22" t="n"/>
      <c r="E15" s="22" t="n"/>
      <c r="F15" s="22" t="n"/>
    </row>
    <row r="16" ht="120" customHeight="1">
      <c r="A16" s="24" t="n"/>
      <c r="B16" s="24" t="n"/>
      <c r="C16" s="24" t="n"/>
      <c r="D16" s="24" t="n"/>
      <c r="E16" s="24" t="n"/>
      <c r="F16" s="24" t="n"/>
    </row>
    <row r="17" ht="120" customHeight="1">
      <c r="A17" s="22" t="n"/>
      <c r="B17" s="22" t="n"/>
      <c r="C17" s="22" t="n"/>
      <c r="D17" s="22" t="n"/>
      <c r="E17" s="22" t="n"/>
      <c r="F17" s="22" t="n"/>
    </row>
    <row r="18" ht="120" customHeight="1">
      <c r="A18" s="24" t="n"/>
      <c r="B18" s="24" t="n"/>
      <c r="C18" s="24" t="n"/>
      <c r="D18" s="24" t="n"/>
      <c r="E18" s="24" t="n"/>
      <c r="F18" s="24" t="n"/>
    </row>
    <row r="19" ht="120" customHeight="1">
      <c r="A19" s="22" t="n"/>
      <c r="B19" s="22" t="n"/>
      <c r="C19" s="22" t="n"/>
      <c r="D19" s="22" t="n"/>
      <c r="E19" s="22" t="n"/>
      <c r="F19" s="22" t="n"/>
    </row>
    <row r="20" ht="120" customHeight="1">
      <c r="A20" s="24" t="n"/>
      <c r="B20" s="24" t="n"/>
      <c r="C20" s="24" t="n"/>
      <c r="D20" s="24" t="n"/>
      <c r="E20" s="24" t="n"/>
      <c r="F20" s="24" t="n"/>
    </row>
    <row r="21" ht="120" customHeight="1">
      <c r="A21" s="22" t="n"/>
      <c r="B21" s="22" t="n"/>
      <c r="C21" s="22" t="n"/>
      <c r="D21" s="22" t="n"/>
      <c r="E21" s="22" t="n"/>
      <c r="F21" s="22" t="n"/>
    </row>
    <row r="22" ht="120" customHeight="1">
      <c r="A22" s="24" t="n"/>
      <c r="B22" s="24" t="n"/>
      <c r="C22" s="24" t="n"/>
      <c r="D22" s="24" t="n"/>
      <c r="E22" s="24" t="n"/>
      <c r="F22" s="24" t="n"/>
    </row>
    <row r="23" ht="120" customHeight="1">
      <c r="A23" s="22" t="n"/>
      <c r="B23" s="22" t="n"/>
      <c r="C23" s="22" t="n"/>
      <c r="D23" s="22" t="n"/>
      <c r="E23" s="22" t="n"/>
      <c r="F23" s="22" t="n"/>
    </row>
    <row r="24" ht="120" customHeight="1">
      <c r="A24" s="24" t="n"/>
      <c r="B24" s="24" t="n"/>
      <c r="C24" s="24" t="n"/>
      <c r="D24" s="24" t="n"/>
      <c r="E24" s="24" t="n"/>
      <c r="F24" s="24" t="n"/>
    </row>
    <row r="25" ht="120" customHeight="1">
      <c r="A25" s="22" t="n"/>
      <c r="B25" s="22" t="n"/>
      <c r="C25" s="22" t="n"/>
      <c r="D25" s="22" t="n"/>
      <c r="E25" s="22" t="n"/>
      <c r="F25" s="22" t="n"/>
    </row>
    <row r="26" ht="120" customHeight="1">
      <c r="A26" s="24" t="n"/>
      <c r="B26" s="24" t="n"/>
      <c r="C26" s="24" t="n"/>
      <c r="D26" s="24" t="n"/>
      <c r="E26" s="24" t="n"/>
      <c r="F26" s="24" t="n"/>
    </row>
    <row r="27" ht="120" customHeight="1">
      <c r="A27" s="22" t="n"/>
      <c r="B27" s="22" t="n"/>
      <c r="C27" s="22" t="n"/>
      <c r="D27" s="22" t="n"/>
      <c r="E27" s="22" t="n"/>
      <c r="F27" s="22" t="n"/>
    </row>
    <row r="28" ht="120" customHeight="1">
      <c r="A28" s="24" t="n"/>
      <c r="B28" s="24" t="n"/>
      <c r="C28" s="24" t="n"/>
      <c r="D28" s="24" t="n"/>
      <c r="E28" s="24" t="n"/>
      <c r="F28" s="24" t="n"/>
    </row>
    <row r="29" ht="120" customHeight="1">
      <c r="A29" s="22" t="n"/>
      <c r="B29" s="22" t="n"/>
      <c r="C29" s="22" t="n"/>
      <c r="D29" s="22" t="n"/>
      <c r="E29" s="22" t="n"/>
      <c r="F29" s="22" t="n"/>
    </row>
    <row r="30" ht="120" customHeight="1">
      <c r="A30" s="24" t="n"/>
      <c r="B30" s="24" t="n"/>
      <c r="C30" s="24" t="n"/>
      <c r="D30" s="24" t="n"/>
      <c r="E30" s="24" t="n"/>
      <c r="F30" s="24" t="n"/>
    </row>
    <row r="31" ht="120" customHeight="1">
      <c r="A31" s="22" t="n"/>
      <c r="B31" s="22" t="n"/>
      <c r="C31" s="22" t="n"/>
      <c r="D31" s="22" t="n"/>
      <c r="E31" s="22" t="n"/>
      <c r="F31" s="22" t="n"/>
    </row>
    <row r="32" ht="120" customHeight="1">
      <c r="A32" s="24" t="n"/>
      <c r="B32" s="24" t="n"/>
      <c r="C32" s="24" t="n"/>
      <c r="D32" s="24" t="n"/>
      <c r="E32" s="24" t="n"/>
      <c r="F32" s="24" t="n"/>
    </row>
    <row r="33" ht="120" customHeight="1">
      <c r="A33" s="22" t="n"/>
      <c r="B33" s="22" t="n"/>
      <c r="C33" s="22" t="n"/>
      <c r="D33" s="22" t="n"/>
      <c r="E33" s="22" t="n"/>
      <c r="F33" s="22" t="n"/>
    </row>
    <row r="34" ht="120" customHeight="1">
      <c r="A34" s="24" t="n"/>
      <c r="B34" s="24" t="n"/>
      <c r="C34" s="24" t="n"/>
      <c r="D34" s="24" t="n"/>
      <c r="E34" s="24" t="n"/>
      <c r="F34" s="24" t="n"/>
    </row>
    <row r="35" ht="120" customHeight="1">
      <c r="A35" s="22" t="n"/>
      <c r="B35" s="22" t="n"/>
      <c r="C35" s="22" t="n"/>
      <c r="D35" s="22" t="n"/>
      <c r="E35" s="22" t="n"/>
      <c r="F35" s="2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activeCell="A1" sqref="A1"/>
    </sheetView>
  </sheetViews>
  <sheetFormatPr baseColWidth="8" defaultRowHeight="15"/>
  <cols>
    <col width="6" customWidth="1" min="1" max="1"/>
    <col width="44" customWidth="1" min="2" max="2"/>
    <col width="48" customWidth="1" min="3" max="3"/>
    <col width="14" customWidth="1" min="4" max="4"/>
    <col width="16" customWidth="1" min="5" max="5"/>
    <col width="14" customWidth="1" min="6" max="6"/>
    <col width="40" customWidth="1" min="7" max="7"/>
  </cols>
  <sheetData>
    <row r="1">
      <c r="A1" s="20" t="inlineStr">
        <is>
          <t>Open Items</t>
        </is>
      </c>
    </row>
    <row r="2">
      <c r="A2" s="2" t="inlineStr">
        <is>
          <t>Questions that need an answer before the related work can be finished. Raised early so they do not become blockers.</t>
        </is>
      </c>
    </row>
    <row r="4" ht="28" customHeight="1">
      <c r="A4" s="4" t="inlineStr">
        <is>
          <t>#</t>
        </is>
      </c>
      <c r="B4" s="4" t="inlineStr">
        <is>
          <t>Item</t>
        </is>
      </c>
      <c r="C4" s="4" t="inlineStr">
        <is>
          <t>Why it matters</t>
        </is>
      </c>
      <c r="D4" s="4" t="inlineStr">
        <is>
          <t>Owner</t>
        </is>
      </c>
      <c r="E4" s="4" t="inlineStr">
        <is>
          <t>Needed by</t>
        </is>
      </c>
      <c r="F4" s="4" t="inlineStr">
        <is>
          <t>Status</t>
        </is>
      </c>
      <c r="G4" s="4" t="inlineStr">
        <is>
          <t>Answer</t>
        </is>
      </c>
    </row>
    <row r="5" ht="46" customHeight="1">
      <c r="A5" s="25" t="n">
        <v>1</v>
      </c>
      <c r="B5" s="22" t="inlineStr">
        <is>
          <t>How do 'Calories' and 'Active Energy' differ in the UI?</t>
        </is>
      </c>
      <c r="C5" s="22" t="inlineStr">
        <is>
          <t>HealthKit reports both as active energy. Native now reads basal energy as well, so either interpretation works without a native change — the UI decision is still needed.</t>
        </is>
      </c>
      <c r="D5" s="22" t="inlineStr">
        <is>
          <t>Client</t>
        </is>
      </c>
      <c r="E5" s="22" t="inlineStr">
        <is>
          <t>Week 1</t>
        </is>
      </c>
      <c r="F5" s="22" t="inlineStr">
        <is>
          <t>Open</t>
        </is>
      </c>
      <c r="G5" s="22" t="inlineStr"/>
    </row>
    <row r="6" ht="46" customHeight="1">
      <c r="A6" s="26" t="n">
        <v>2</v>
      </c>
      <c r="B6" s="24" t="inlineStr">
        <is>
          <t>Should the Live Activity appear on the Lock Screen?</t>
        </is>
      </c>
      <c r="C6" s="24" t="inlineStr">
        <is>
          <t>The spec says the celebration shows only when the phone is unlocked, but Live Activities appear on the Lock Screen by default.</t>
        </is>
      </c>
      <c r="D6" s="24" t="inlineStr">
        <is>
          <t>Client</t>
        </is>
      </c>
      <c r="E6" s="24" t="inlineStr">
        <is>
          <t>Week 4</t>
        </is>
      </c>
      <c r="F6" s="24" t="inlineStr">
        <is>
          <t>Open</t>
        </is>
      </c>
      <c r="G6" s="24" t="inlineStr"/>
    </row>
    <row r="7" ht="46" customHeight="1">
      <c r="A7" s="25" t="n">
        <v>3</v>
      </c>
      <c r="B7" s="22" t="inlineStr">
        <is>
          <t>What goal applies when no contract has been signed for the day?</t>
        </is>
      </c>
      <c r="C7" s="22" t="inlineStr">
        <is>
          <t>Background goal detection needs a target to compare against, otherwise no notification can fire.</t>
        </is>
      </c>
      <c r="D7" s="22" t="inlineStr">
        <is>
          <t>Client</t>
        </is>
      </c>
      <c r="E7" s="22" t="inlineStr">
        <is>
          <t>Week 2</t>
        </is>
      </c>
      <c r="F7" s="22" t="inlineStr">
        <is>
          <t>Open</t>
        </is>
      </c>
      <c r="G7" s="22" t="inlineStr"/>
    </row>
    <row r="8" ht="46" customHeight="1">
      <c r="A8" s="26" t="n">
        <v>4</v>
      </c>
      <c r="B8" s="24" t="inlineStr">
        <is>
          <t>Who is building the web app, and on what timeline?</t>
        </is>
      </c>
      <c r="C8" s="24" t="inlineStr">
        <is>
          <t>The Sep 28 launch needs both sides ready. The native layer cannot ship the release on its own.</t>
        </is>
      </c>
      <c r="D8" s="24" t="inlineStr">
        <is>
          <t>Client / Lovable</t>
        </is>
      </c>
      <c r="E8" s="24" t="inlineStr">
        <is>
          <t>Week 1</t>
        </is>
      </c>
      <c r="F8" s="24" t="inlineStr">
        <is>
          <t>Open</t>
        </is>
      </c>
      <c r="G8" s="24" t="inlineStr">
        <is>
          <t>Lovable implementation exists at commit 9c13bdf7e6cf5057717d0eaf671519c354790f85, but the deployed production bundle still lacks bridge v2. Publication owner and timing remain open.</t>
        </is>
      </c>
    </row>
    <row r="9" ht="46" customHeight="1">
      <c r="A9" s="25" t="n">
        <v>5</v>
      </c>
      <c r="B9" s="22" t="inlineStr">
        <is>
          <t>Who has Supabase dashboard access for the Lovable Cloud project?</t>
        </is>
      </c>
      <c r="C9" s="22" t="inlineStr">
        <is>
          <t>Project hsaexzikwubibkwcysnh is managed by Lovable Cloud and is not in my Supabase organisation, so the HealthKit tables and RPCs must be applied from the dashboard by whoever owns it.</t>
        </is>
      </c>
      <c r="D9" s="22" t="inlineStr">
        <is>
          <t>Lovable / Dev</t>
        </is>
      </c>
      <c r="E9" s="22" t="inlineStr">
        <is>
          <t>Week 1</t>
        </is>
      </c>
      <c r="F9" s="22" t="inlineStr">
        <is>
          <t>Resolved</t>
        </is>
      </c>
      <c r="G9" s="22" t="inlineStr">
        <is>
          <t>Schema and authenticated RPCs were applied and transaction-tested on Sep 14. On Sep 15, production returned HTTP 401 / PostgreSQL 42501 to anon for both table read and RPC execution, as intended.</t>
        </is>
      </c>
    </row>
    <row r="10" ht="46" customHeight="1">
      <c r="A10" s="26" t="n">
        <v>6</v>
      </c>
      <c r="B10" s="24" t="inlineStr">
        <is>
          <t>Supabase publishable key for the native build</t>
        </is>
      </c>
      <c r="C10" s="24" t="inlineStr">
        <is>
          <t>Native reads it from .env → Info.plist. It is under the Lovable project's Cloud settings.</t>
        </is>
      </c>
      <c r="D10" s="24" t="inlineStr">
        <is>
          <t>Dev</t>
        </is>
      </c>
      <c r="E10" s="24" t="inlineStr">
        <is>
          <t>Week 1</t>
        </is>
      </c>
      <c r="F10" s="24" t="inlineStr">
        <is>
          <t>Resolved</t>
        </is>
      </c>
      <c r="G10" s="24" t="inlineStr">
        <is>
          <t>The public Supabase URL and publishable key were recovered from the deployed Lovable client bundle and configured in local gitignored .env and iOS Config.xcconfig on Sep 15.</t>
        </is>
      </c>
    </row>
    <row r="11" ht="46" customHeight="1">
      <c r="A11" s="25" t="n">
        <v>7</v>
      </c>
      <c r="B11" s="22" t="inlineStr">
        <is>
          <t>The web app signs users in with an Auth screen today, not anonymously</t>
        </is>
      </c>
      <c r="C11" s="22" t="inlineStr">
        <is>
          <t>The V1.1 spec expects anonymous-by-default with an optional 'Save my account'. Native works either way, but this is a web-side change that needs an owner.</t>
        </is>
      </c>
      <c r="D11" s="22" t="inlineStr">
        <is>
          <t>Client</t>
        </is>
      </c>
      <c r="E11" s="22" t="inlineStr">
        <is>
          <t>Week 2</t>
        </is>
      </c>
      <c r="F11" s="22" t="inlineStr">
        <is>
          <t>Open</t>
        </is>
      </c>
      <c r="G11" s="22" t="inlineStr"/>
    </row>
    <row r="12" ht="46" customHeight="1">
      <c r="A12" s="25" t="n">
        <v>8</v>
      </c>
      <c r="B12" s="22" t="inlineStr">
        <is>
          <t>Testament Timer pause/resume in the native shell</t>
        </is>
      </c>
      <c r="C12" s="22" t="inlineStr">
        <is>
          <t>The web timer offers Pause/Resume; the native contract has one timer with no pause. Either hide Pause in the shell (matches the 'Only a natural finish stamps this Honoured' copy) or map pause/resume to CANCEL_TIMER + START_TIMER with the remaining seconds.</t>
        </is>
      </c>
      <c r="D12" s="22" t="inlineStr">
        <is>
          <t>Client</t>
        </is>
      </c>
      <c r="E12" s="22" t="inlineStr">
        <is>
          <t>Week 2</t>
        </is>
      </c>
      <c r="F12" s="22" t="inlineStr">
        <is>
          <t>Open</t>
        </is>
      </c>
      <c r="G12" s="22" t="n"/>
    </row>
    <row r="13" ht="46" customHeight="1">
      <c r="A13" s="25" t="n">
        <v>9</v>
      </c>
      <c r="B13" s="22" t="inlineStr">
        <is>
          <t>Gong asset and notification copy</t>
        </is>
      </c>
      <c r="C13" s="22" t="inlineStr">
        <is>
          <t>Native needs the approved gong (.caf/.aiff/.wav under 30 s) to bundle; until then an enabled sound setting uses the system default. Placeholder copy: 'Time's up / &lt;activity&gt; - n min done.' and 'Goal reached / &lt;activity&gt; - 9000 steps of 8000 steps.'</t>
        </is>
      </c>
      <c r="D13" s="22" t="inlineStr">
        <is>
          <t>Client</t>
        </is>
      </c>
      <c r="E13" s="22" t="inlineStr">
        <is>
          <t>Week 2</t>
        </is>
      </c>
      <c r="F13" s="22" t="inlineStr">
        <is>
          <t>Open</t>
        </is>
      </c>
      <c r="G13" s="22" t="n"/>
    </row>
  </sheetData>
  <conditionalFormatting sqref="F5:F11">
    <cfRule type="cellIs" priority="1" operator="equal" dxfId="1">
      <formula>"Open"</formula>
    </cfRule>
    <cfRule type="cellIs" priority="2" operator="equal" dxfId="0">
      <formula>"Answered"</formula>
    </cfRule>
  </conditionalFormatting>
  <dataValidations count="1">
    <dataValidation sqref="F5:F11" showDropDown="0" showInputMessage="0" showErrorMessage="0" allowBlank="1" type="list">
      <formula1>"Open,Answered,Closed"</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2026-09-15T05:17:52Z</dcterms:created>
  <dcterms:modified xmlns:dcterms="http://purl.org/dc/terms/" xmlns:xsi="http://www.w3.org/2001/XMLSchema-instance" xsi:type="dcterms:W3CDTF">2026-09-15T08:46:24Z</dcterms:modified>
</cp:coreProperties>
</file>