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2df95f80b114cb0" /></Relationships>
</file>

<file path=xl/workbook.xml><?xml version="1.0" encoding="utf-8"?>
<x:workbook xmlns:x="http://schemas.openxmlformats.org/spreadsheetml/2006/main">
  <x:sheets>
    <x:sheet xmlns:r="http://schemas.openxmlformats.org/officeDocument/2006/relationships" name="Overview" sheetId="1" r:id="R0609d0bc544b4050"/>
    <x:sheet xmlns:r="http://schemas.openxmlformats.org/officeDocument/2006/relationships" name="Weekly Progress" sheetId="2" r:id="R680dc9caec344641"/>
    <x:sheet xmlns:r="http://schemas.openxmlformats.org/officeDocument/2006/relationships" name="Task Tracker" sheetId="3" r:id="Rfca3ed3e260742a6"/>
    <x:sheet xmlns:r="http://schemas.openxmlformats.org/officeDocument/2006/relationships" name="Screenshots" sheetId="4" r:id="R8919423fe75d4527"/>
    <x:sheet xmlns:r="http://schemas.openxmlformats.org/officeDocument/2006/relationships" name="Open Items" sheetId="5" r:id="R238203a79b1e4a19"/>
  </x:sheets>
</x:workbook>
</file>

<file path=xl/sharedStrings.xml><?xml version="1.0" encoding="utf-8"?>
<x:sst xmlns:x="http://schemas.openxmlformats.org/spreadsheetml/2006/main">
  <x:si>
    <x:t xml:space="preserve">Honoured V1.1 — Native iOS Progress Tracker</x:t>
  </x:si>
  <x:si>
    <x:t xml:space="preserve">Scope: iOS native layer only. Web app (Contract, Progress, Journal, Calendar, Settings) is tracked separately. Android is out of scope for V1.1.</x:t>
  </x:si>
  <x:si>
    <x:t xml:space="preserve">MILESTONES</x:t>
  </x:si>
  <x:si>
    <x:t xml:space="preserve">Milestone</x:t>
  </x:si>
  <x:si>
    <x:t xml:space="preserve">Dates</x:t>
  </x:si>
  <x:si>
    <x:t xml:space="preserve">Payment</x:t>
  </x:si>
  <x:si>
    <x:t xml:space="preserve">Est. hours</x:t>
  </x:si>
  <x:si>
    <x:t xml:space="preserve">Actual hours</x:t>
  </x:si>
  <x:si>
    <x:t xml:space="preserve">% complete</x:t>
  </x:si>
  <x:si>
    <x:t xml:space="preserve">Deliverable</x:t>
  </x:si>
  <x:si>
    <x:t xml:space="preserve">M1</x:t>
  </x:si>
  <x:si>
    <x:t xml:space="preserve">Sep 8</x:t>
  </x:si>
  <x:si>
    <x:t xml:space="preserve">$500</x:t>
  </x:si>
  <x:si>
    <x:t xml:space="preserve">Scope locked: bridge contract, database schema, project configuration</x:t>
  </x:si>
  <x:si>
    <x:t xml:space="preserve">M2</x:t>
  </x:si>
  <x:si>
    <x:t xml:space="preserve">Sep 8 – 28</x:t>
  </x:si>
  <x:si>
    <x:t xml:space="preserve">$700</x:t>
  </x:si>
  <x:si>
    <x:t xml:space="preserve">V1.1 on the App Store — HealthKit, notifications, timer, gong, Sign in with Apple</x:t>
  </x:si>
  <x:si>
    <x:t xml:space="preserve">M3</x:t>
  </x:si>
  <x:si>
    <x:t xml:space="preserve">Sep 29 – Oct 12</x:t>
  </x:si>
  <x:si>
    <x:t xml:space="preserve">Dynamic Island (Live Activity) and Google Sign-In shipped</x:t>
  </x:si>
  <x:si>
    <x:t xml:space="preserve">Total</x:t>
  </x:si>
  <x:si>
    <x:t xml:space="preserve">$1,700</x:t>
  </x:si>
  <x:si>
    <x:t xml:space="preserve">CONFIRMED DECISIONS</x:t>
  </x:si>
  <x:si>
    <x:t xml:space="preserve">Topic</x:t>
  </x:si>
  <x:si>
    <x:t xml:space="preserve">Decision</x:t>
  </x:si>
  <x:si>
    <x:t xml:space="preserve">Dynamic Island</x:t>
  </x:si>
  <x:si>
    <x:t xml:space="preserve">Ships in M3 (October) as a follow-up update, so it does not block the Sep 28 launch.</x:t>
  </x:si>
  <x:si>
    <x:t xml:space="preserve">Notifications</x:t>
  </x:si>
  <x:si>
    <x:t xml:space="preserve">Local, on-device notifications. No server-triggered push infrastructure.</x:t>
  </x:si>
  <x:si>
    <x:t xml:space="preserve">Sleep data</x:t>
  </x:si>
  <x:si>
    <x:t xml:space="preserve">The metric is hidden when no data is available (common on iPhone without an Apple Watch).</x:t>
  </x:si>
  <x:si>
    <x:t xml:space="preserve">Sign-in</x:t>
  </x:si>
  <x:si>
    <x:t xml:space="preserve">V1.1 ships Sign in with Apple only. Google Sign-In moves to M3.</x:t>
  </x:si>
  <x:si>
    <x:t xml:space="preserve">Background sync</x:t>
  </x:si>
  <x:si>
    <x:t xml:space="preserve">Best-effort. iOS schedules background work opportunistically; an exact 1–2 hour cadence cannot be guaranteed.</x:t>
  </x:si>
  <x:si>
    <x:t xml:space="preserve">Android</x:t>
  </x:si>
  <x:si>
    <x:t xml:space="preserve">Out of scope for V1.1, consistent with the original spec (V1.2+).</x:t>
  </x:si>
  <x:si>
    <x:t xml:space="preserve">Daily totals</x:t>
  </x:si>
  <x:si>
    <x:t xml:space="preserve">Computed on-device with HealthKit statistics (source-deduplicated) and uploaded as such, so iPhone + Watch users are not double counted. Decided Sep 13.</x:t>
  </x:si>
  <x:si>
    <x:t xml:space="preserve">STATUS LEGEND</x:t>
  </x:si>
  <x:si>
    <x:t xml:space="preserve">Not started</x:t>
  </x:si>
  <x:si>
    <x:t xml:space="preserve">In progress</x:t>
  </x:si>
  <x:si>
    <x:t xml:space="preserve">Done</x:t>
  </x:si>
  <x:si>
    <x:t xml:space="preserve">Blocked</x:t>
  </x:si>
  <x:si>
    <x:t xml:space="preserve">Deferred</x:t>
  </x:si>
  <x:si>
    <x:t xml:space="preserve">Weekly Progress</x:t>
  </x:si>
  <x:si>
    <x:t xml:space="preserve">Week-level summary, updated daily. Screenshots and build links go in the Screenshots sheet.</x:t>
  </x:si>
  <x:si>
    <x:t xml:space="preserve">Week</x:t>
  </x:si>
  <x:si>
    <x:t xml:space="preserve">Focus</x:t>
  </x:si>
  <x:si>
    <x:t xml:space="preserve">Planned this week</x:t>
  </x:si>
  <x:si>
    <x:t xml:space="preserve">Status</x:t>
  </x:si>
  <x:si>
    <x:t xml:space="preserve">Est. h</x:t>
  </x:si>
  <x:si>
    <x:t xml:space="preserve">Actual h</x:t>
  </x:si>
  <x:si>
    <x:t xml:space="preserve">Delivered so far</x:t>
  </x:si>
  <x:si>
    <x:t xml:space="preserve">Blockers</x:t>
  </x:si>
  <x:si>
    <x:t xml:space="preserve">Notes for client</x:t>
  </x:si>
  <x:si>
    <x:t xml:space="preserve">Scope lock</x:t>
  </x:si>
  <x:si>
    <x:t xml:space="preserve">Contract and schema locked</x:t>
  </x:si>
  <x:si>
    <x:t xml:space="preserve">Bridge v2 message contract, Supabase schema and RLS, project configuration, written confirmation of decisions</x:t>
  </x:si>
  <x:si>
    <x:t xml:space="preserve">Bridge v2 contract, metric mapping and client decisions confirmed. Schema design done; apply path pending.</x:t>
  </x:si>
  <x:si>
    <x:t xml:space="preserve">Week 1</x:t>
  </x:si>
  <x:si>
    <x:t xml:space="preserve">Sep 8 – 14</x:t>
  </x:si>
  <x:si>
    <x:t xml:space="preserve">HealthKit foundation</x:t>
  </x:si>
  <x:si>
    <x:t xml:space="preserve">Permission flow, reads for all seven metrics, Supabase sync, offline queue, duplicate protection</x:t>
  </x:si>
  <x:si>
    <x:t xml:space="preserve">Native Week 1 code completed and audited: HealthKit permission/anchored reads, source-deduplicated daily totals, Supabase sync, user-bound offline queue, real reconnect retry, Keychain token refresh and bridge v2. Supabase production schema/RPC access controls rechecked; Lovable commit 9c13 passed 91 web tests.</x:t>
  </x:si>
  <x:si>
    <x:t xml:space="preserve">Real-device HealthKit checks (permission sheet decisions, second-run anchors, deletion, airplane mode) are scheduled as Week 3 QA and need Apple Developer access. Production E2E still needs Lovable to publish.</x:t>
  </x:si>
  <x:si>
    <x:t xml:space="preserve">Sep 15 audit fixed reconnect reads, retry looping, account isolation, finite-number validation, overlapping sleep totals and late historical samples. Static checks pass. The attempted simulator build was stopped with no result; latest confirmed simulator build remains Sep 14.</x:t>
  </x:si>
  <x:si>
    <x:t xml:space="preserve">Week 2</x:t>
  </x:si>
  <x:si>
    <x:t xml:space="preserve">Sep 15 – 21</x:t>
  </x:si>
  <x:si>
    <x:t xml:space="preserve">Ceremony and identity</x:t>
  </x:si>
  <x:si>
    <x:t xml:space="preserve">Background sync, Testament Timer notifications, goal-completion alerts, gong sound, Sign in with Apple</x:t>
  </x:si>
  <x:si>
    <x:t xml:space="preserve">Week 3</x:t>
  </x:si>
  <x:si>
    <x:t xml:space="preserve">Sep 22 – 28</x:t>
  </x:si>
  <x:si>
    <x:t xml:space="preserve">QA and release</x:t>
  </x:si>
  <x:si>
    <x:t xml:space="preserve">Permission and background QA, bug fixes, privacy paperwork, TestFlight, App Store submission</x:t>
  </x:si>
  <x:si>
    <x:t xml:space="preserve">Ready to start as soon as a signed device build exists: every Week 2 item is code-complete and waiting on device acceptance. N-20 (privacy nutrition label, HealthKit review notes, privacy policy URL) can start before device access.</x:t>
  </x:si>
  <x:si>
    <x:t xml:space="preserve">Week 4</x:t>
  </x:si>
  <x:si>
    <x:t xml:space="preserve">Sep 29 – Oct 5</x:t>
  </x:si>
  <x:si>
    <x:t xml:space="preserve">Dynamic Island build</x:t>
  </x:si>
  <x:si>
    <x:t xml:space="preserve">Widget Extension target, Live Activity presentations, activity lifecycle</x:t>
  </x:si>
  <x:si>
    <x:t xml:space="preserve">Week 5</x:t>
  </x:si>
  <x:si>
    <x:t xml:space="preserve">Oct 6 – 12</x:t>
  </x:si>
  <x:si>
    <x:t xml:space="preserve">Dynamic Island finish + Google</x:t>
  </x:si>
  <x:si>
    <x:t xml:space="preserve">Task Tracker</x:t>
  </x:si>
  <x:si>
    <x:t xml:space="preserve">Every task in the native scope. Filter by milestone or week to see a slice of the work.</x:t>
  </x:si>
  <x:si>
    <x:t xml:space="preserve">ID</x:t>
  </x:si>
  <x:si>
    <x:t xml:space="preserve">Task</x:t>
  </x:si>
  <x:si>
    <x:t xml:space="preserve">Layer</x:t>
  </x:si>
  <x:si>
    <x:t xml:space="preserve">Done when</x:t>
  </x:si>
  <x:si>
    <x:t xml:space="preserve">Evidence</x:t>
  </x:si>
  <x:si>
    <x:t xml:space="preserve">Notes</x:t>
  </x:si>
  <x:si>
    <x:t xml:space="preserve">M1-01</x:t>
  </x:si>
  <x:si>
    <x:t xml:space="preserve">Lock bridge v2 message contract, update docs/bridge.md</x:t>
  </x:si>
  <x:si>
    <x:t xml:space="preserve">Native</x:t>
  </x:si>
  <x:si>
    <x:t xml:space="preserve">Web side confirms they can build against the documented contract</x:t>
  </x:si>
  <x:si>
    <x:t xml:space="preserve">docs/bridge.md · commit c1b6bed</x:t>
  </x:si>
  <x:si>
    <x:t xml:space="preserve">Locked Sep 13. Adds auth-session hand-off, three distance metrics, GET_TIMER_STATE, GOAL_REACHED broadcast, linkIdentity rule for Apple. Sep 13 fix: any inbound message marks the web ready, since the current web build never sends APP_READY.</x:t>
  </x:si>
  <x:si>
    <x:t xml:space="preserve">M1-02</x:t>
  </x:si>
  <x:si>
    <x:t xml:space="preserve">Lock Supabase schema + row-level security, review with web side</x:t>
  </x:si>
  <x:si>
    <x:t xml:space="preserve">Supabase</x:t>
  </x:si>
  <x:si>
    <x:t xml:space="preserve">Schema runs on staging, RLS verified for a second user</x:t>
  </x:si>
  <x:si>
    <x:t xml:space="preserve">docs/db/healthkit_v1.sql · authenticated RPC transaction test</x:t>
  </x:si>
  <x:si>
    <x:t xml:space="preserve">Applied to Lovable Cloud Sep 14. Both tables have RLS; anon cannot read; authenticated select/insert/update and both SECURITY INVOKER RPCs verified. Test rows rolled back.</x:t>
  </x:si>
  <x:si>
    <x:t xml:space="preserve">M1-03</x:t>
  </x:si>
  <x:si>
    <x:t xml:space="preserve">Lock the 7 metrics and their HealthKit identifier mapping</x:t>
  </x:si>
  <x:si>
    <x:t xml:space="preserve">Each metric maps to a named HealthKit type, ambiguities resolved</x:t>
  </x:si>
  <x:si>
    <x:t xml:space="preserve">docs/bridge.md · ios/Honoured/HealthMetric.swift</x:t>
  </x:si>
  <x:si>
    <x:t xml:space="preserve">Nine identifiers cover the seven spec data types: distance split into walking/running, cycling, swimming; active and basal energy both read.</x:t>
  </x:si>
  <x:si>
    <x:t xml:space="preserve">M1-04</x:t>
  </x:si>
  <x:si>
    <x:t xml:space="preserve">Confirm the four client decisions in writing</x:t>
  </x:si>
  <x:si>
    <x:t xml:space="preserve">Ops</x:t>
  </x:si>
  <x:si>
    <x:t xml:space="preserve">Written confirmation on notifications, Dynamic Island, sleep, Apple-only sign-in</x:t>
  </x:si>
  <x:si>
    <x:t xml:space="preserve">Client message, Sep 10</x:t>
  </x:si>
  <x:si>
    <x:t xml:space="preserve">Confirmed: local notifications, Dynamic Island deferred to M3, sleep hidden when empty, Sign in with Apple only for V1.1.</x:t>
  </x:si>
  <x:si>
    <x:t xml:space="preserve">N-01</x:t>
  </x:si>
  <x:si>
    <x:t xml:space="preserve">Bridge v2 scaffolding + event queue for pre-load events</x:t>
  </x:si>
  <x:si>
    <x:t xml:space="preserve">New message types round-trip; events fired before web is ready are replayed, not lost</x:t>
  </x:si>
  <x:si>
    <x:t xml:space="preserve">commit c1b6bed</x:t>
  </x:si>
  <x:si>
    <x:t xml:space="preserve">bridgeVersion 2, queued broadcasts (bounded to 50, survive a reload), 13 v2 messages stubbed as not_implemented so the web can tell an old build from an incomplete one.</x:t>
  </x:si>
  <x:si>
    <x:t xml:space="preserve">N-02</x:t>
  </x:si>
  <x:si>
    <x:t xml:space="preserve">Project config: entitlements, Info.plist keys, Apple Developer capabilities</x:t>
  </x:si>
  <x:si>
    <x:t xml:space="preserve">App builds and installs with HealthKit capability enabled on a real device</x:t>
  </x:si>
  <x:si>
    <x:t xml:space="preserve">commit 571de89 · plutil checks Sep 15 · latest confirmed simulator build Sep 14</x:t>
  </x:si>
  <x:si>
    <x:t xml:space="preserve">Done: entitlements (HealthKit, background delivery, Sign in with Apple), Info.plist keys, background modes and the .env → sync-env.sh → xcconfig chain are in place; simulator builds install and run with simulated entitlements (ad-hoc signed). Enabling the capabilities on the Apple Developer portal and device signing are tracked in Open Item #11.</x:t>
  </x:si>
  <x:si>
    <x:t xml:space="preserve">N-03</x:t>
  </x:si>
  <x:si>
    <x:t xml:space="preserve">HealthKitService — authorisation flow and per-type status</x:t>
  </x:si>
  <x:si>
    <x:t xml:space="preserve">Permission sheet appears; partial grants reported correctly per type</x:t>
  </x:si>
  <x:si>
    <x:t xml:space="preserve">ios/Honoured/HealthKitService.swift · simulator Sep 15: Health Access sheet shown with read types (ad-hoc signed build, screenshot 03)</x:t>
  </x:si>
  <x:si>
    <x:t xml:space="preserve">Done: authorisation flow and per-type status implemented; the Health Access sheet with the read-only types was reproduced on the simulator (screenshot 03). iOS does not reveal grant vs deny, so status is notDetermined / determined per type by contract. Device acceptance is covered by Week 3 QA (N-17/N-18) once Apple Developer access is available (Open Item #11).</x:t>
  </x:si>
  <x:si>
    <x:t xml:space="preserve">N-04</x:t>
  </x:si>
  <x:si>
    <x:t xml:space="preserve">Data reads — anchored queries for 7 metrics, anchor persistence</x:t>
  </x:si>
  <x:si>
    <x:t xml:space="preserve">Second run returns only new samples; anchors survive an app restart</x:t>
  </x:si>
  <x:si>
    <x:t xml:space="preserve">ios/Honoured/HealthKitService.swift · static audit Sep 15 · simulator build Sep 14</x:t>
  </x:si>
  <x:si>
    <x:t xml:space="preserve">Done: anchored reads for nine metrics with per-metric anchors committed only after the batch is durably queued, 30-day initial floor, deletions, source-deduplicated totals, merged overlapping sleep, late historical-day recomputation; static audit Sep 15. Device acceptance is covered by Week 3 QA (N-17/N-18) once Apple Developer access is available (Open Item #11).</x:t>
  </x:si>
  <x:si>
    <x:t xml:space="preserve">N-05</x:t>
  </x:si>
  <x:si>
    <x:t xml:space="preserve">Supabase tables + upsert RPC + daily rollup</x:t>
  </x:si>
  <x:si>
    <x:t xml:space="preserve">Batch upsert is idempotent; health_daily totals match the Health app</x:t>
  </x:si>
  <x:si>
    <x:t xml:space="preserve">docs/db/healthkit_v1.sql · Lovable Cloud Sep 14</x:t>
  </x:si>
  <x:si>
    <x:t xml:space="preserve">Schema, constraints, index, RLS and both authenticated RPCs applied. Idempotent transactional upsert test passed and rolled back.</x:t>
  </x:si>
  <x:si>
    <x:t xml:space="preserve">N-06</x:t>
  </x:si>
  <x:si>
    <x:t xml:space="preserve">Sync client — batch upload, deleted-sample handling</x:t>
  </x:si>
  <x:si>
    <x:t xml:space="preserve">Deleting a sample in Health removes it from the daily total</x:t>
  </x:si>
  <x:si>
    <x:t xml:space="preserve">ios/Honoured/HealthSyncClient.swift · account-isolation audit Sep 15</x:t>
  </x:si>
  <x:si>
    <x:t xml:space="preserve">Done: upload through the authenticated upsert_health_samples / upsert_health_daily RPCs with deletions, batches bound to their user, token refresh rejecting a different user; RPCs transaction-tested on the Lovable Cloud database Sep 14. Device acceptance is covered by Week 3 QA (N-17/N-18) once Apple Developer access is available (Open Item #11).</x:t>
  </x:si>
  <x:si>
    <x:t xml:space="preserve">N-07</x:t>
  </x:si>
  <x:si>
    <x:t xml:space="preserve">Offline queue + retry on reconnect</x:t>
  </x:si>
  <x:si>
    <x:t xml:space="preserve">Airplane mode then reconnect syncs everything with no duplicate rows</x:t>
  </x:si>
  <x:si>
    <x:t xml:space="preserve">ios/Honoured/OfflineHealthQueue.swift · reconnect/retry audit Sep 15</x:t>
  </x:si>
  <x:si>
    <x:t xml:space="preserve">Done: atomic on-disk queue with rollback, reconnect reads new Health data before draining, capped exponential backoff that actually retries. Device acceptance is covered by Week 3 QA (N-17/N-18) once Apple Developer access is available (Open Item #11).</x:t>
  </x:si>
  <x:si>
    <x:t xml:space="preserve">N-08</x:t>
  </x:si>
  <x:si>
    <x:t xml:space="preserve">HealthKit bridge messages (permission, status, query, goals)</x:t>
  </x:si>
  <x:si>
    <x:t xml:space="preserve">Web can request permission and read metrics through the bridge</x:t>
  </x:si>
  <x:si>
    <x:t xml:space="preserve">native + Lovable commit 9c13bdf7e6cf5057717d0eaf671519c354790f85</x:t>
  </x:si>
  <x:si>
    <x:t xml:space="preserve">Native and Lovable code use the v2 payload contract; Lovable typecheck, 91 tests and production build passed. Public production bundle checked Sep 15 still lacks bridge v2, so the Lovable change is not deployed.</x:t>
  </x:si>
  <x:si>
    <x:t xml:space="preserve">N-09</x:t>
  </x:si>
  <x:si>
    <x:t xml:space="preserve">N-10</x:t>
  </x:si>
  <x:si>
    <x:t xml:space="preserve">BGTaskScheduler fallback path</x:t>
  </x:si>
  <x:si>
    <x:t xml:space="preserve">Scheduled refresh runs when the observer does not fire</x:t>
  </x:si>
  <x:si>
    <x:t xml:space="preserve">ios/Honoured/HealthBackgroundRefresh.swift, HonouredAppDelegate.swift, Info.plist · typecheck + simulator build Sep 15 · docs/bridge.md "Background sync"</x:t>
  </x:si>
  <x:si>
    <x:t xml:space="preserve">Done: BGAppRefreshTask registered before launch finishes, rescheduled at the start of each run and on every background transition, cancelled with the session; same collect-then-drain pass as the observer path, completion guaranteed exactly once. Also fixed the SwiftUI lifecycle so foreground retries fire. Removed the unused 'processing' background mode. Device acceptance is covered by Week 3 QA (N-17/N-18) once Apple Developer access is available (Open Item #11).</x:t>
  </x:si>
  <x:si>
    <x:t xml:space="preserve">N-11</x:t>
  </x:si>
  <x:si>
    <x:t xml:space="preserve">N-12</x:t>
  </x:si>
  <x:si>
    <x:t xml:space="preserve">Native Testament Timer — schedule and cancel</x:t>
  </x:si>
  <x:si>
    <x:t xml:space="preserve">Countdown survives backgrounding; cancelling removes the pending notification</x:t>
  </x:si>
  <x:si>
    <x:t xml:space="preserve">ios/Honoured/TestamentTimer.swift · simulator: scenario 18/18, background banner, exactly-once completion across relaunch (Sep 15); cancel then background → no banner at endsAt (Sep 18, screenshot 05) · docs/bridge.md timer rules</x:t>
  </x:si>
  <x:si>
    <x:t xml:space="preserve">Done on the simulator against the acceptance criterion: the countdown survives backgrounding (banner delivered, TIMER_COMPLETED { notified: true } once on return, and delivered from the durable queue after a relaunch) and cancelling removes the pending notification (no banner after endsAt). One persisted timer; replacing broadcasts TIMER_CANCELLED first; CANCEL is idempotent. Lock-screen behaviour and gong are checked in Week 3 QA / N-15.</x:t>
  </x:si>
  <x:si>
    <x:t xml:space="preserve">N-13</x:t>
  </x:si>
  <x:si>
    <x:t xml:space="preserve">Background goal detection, once per activity per day</x:t>
  </x:si>
  <x:si>
    <x:t xml:space="preserve">Crossing a goal while backgrounded notifies exactly once</x:t>
  </x:si>
  <x:si>
    <x:t xml:space="preserve">ios/Honoured/GoalMonitor.swift · simulator scenario 11/11 PASS Sep 15 (outputs/week2-goals-20260915) · docs/bridge.md "How native decides"</x:t>
  </x:si>
  <x:si>
    <x:t xml:space="preserve">Done: goals compared against today's source-deduplicated totals after every pass with new samples (before the HealthKit completion is acknowledged), after SET_GOALS and after a reset-hour change; one persisted marker per activity per health day; ACTIVITY_COMPLETED silences the contract and its goal slots; simulator scenario 12/12 with injected totals. Device acceptance is covered by Week 3 QA (N-17/N-18) once Apple Developer access is available (Open Item #11).</x:t>
  </x:si>
  <x:si>
    <x:t xml:space="preserve">N-14</x:t>
  </x:si>
  <x:si>
    <x:t xml:space="preserve">Notification deep link into the completed activity</x:t>
  </x:si>
  <x:si>
    <x:t xml:space="preserve">Tapping the notification opens the right activity, including from cold start</x:t>
  </x:si>
  <x:si>
    <x:t xml:space="preserve">ios/Honoured/NativeEventStore.swift, NativeBridge.swift · typecheck + simulator build Sep 15 · docs/bridge.md event queue</x:t>
  </x:si>
  <x:si>
    <x:t xml:space="preserve">Done: notification taps post NOTIFICATION_OPENED { kind, activityId } through a durable, bounded on-disk event store that survives cold start and background launches, flushed exactly once and merged by time with the in-memory queue; the web side (Lovable 9672693) opens the Contract tab and buffers events that arrive before the store hydrates. Cold-start flush verified on the simulator with TIMER_COMPLETED. Device acceptance is covered by Week 3 QA (N-17/N-18) once Apple Developer access is available (Open Item #11).</x:t>
  </x:si>
  <x:si>
    <x:t xml:space="preserve">N-15</x:t>
  </x:si>
  <x:si>
    <x:t xml:space="preserve">N-16</x:t>
  </x:si>
  <x:si>
    <x:t xml:space="preserve">Sign in with Apple — nonce, token hand-off to Supabase</x:t>
  </x:si>
  <x:si>
    <x:t xml:space="preserve">Linking from an anonymous account keeps all previously synced data</x:t>
  </x:si>
  <x:si>
    <x:t xml:space="preserve">ios/Honoured/AppleSignInCoordinator.swift · simulator Sep 18: Apple sheet presented, second request rejected while the sheet is up (outputs/week2-apple-20260918) · docs/bridge.md Apple section</x:t>
  </x:si>
  <x:si>
    <x:t xml:space="preserve">Done (native): random nonce hashed with SHA-256, ASAuthorizationController with name + email scopes, one request at a time, success/cancelled/failed mapping, credential-state check at launch with a revocation broadcast, nothing logged; the Apple sheet is presented on the simulator. End-to-end linking waits on the web's anonymous flow (Open Item #7) and Manual linking in Supabase Auth.</x:t>
  </x:si>
  <x:si>
    <x:t xml:space="preserve">N-17</x:t>
  </x:si>
  <x:si>
    <x:t xml:space="preserve">QA — HealthKit permission matrix</x:t>
  </x:si>
  <x:si>
    <x:t xml:space="preserve">QA</x:t>
  </x:si>
  <x:si>
    <x:t xml:space="preserve">Denied, partial, revoked and no-data devices all behave sensibly</x:t>
  </x:si>
  <x:si>
    <x:t xml:space="preserve">N-18</x:t>
  </x:si>
  <x:si>
    <x:t xml:space="preserve">QA — background, offline, timezone and midnight edge cases</x:t>
  </x:si>
  <x:si>
    <x:t xml:space="preserve">No data loss or duplication across the tested scenarios</x:t>
  </x:si>
  <x:si>
    <x:t xml:space="preserve">N-19</x:t>
  </x:si>
  <x:si>
    <x:t xml:space="preserve">Bug fixes arising from QA</x:t>
  </x:si>
  <x:si>
    <x:t xml:space="preserve">No known blocker defects remain</x:t>
  </x:si>
  <x:si>
    <x:t xml:space="preserve">N-20</x:t>
  </x:si>
  <x:si>
    <x:t xml:space="preserve">App Store prep — privacy labels, policy, HealthKit review notes</x:t>
  </x:si>
  <x:si>
    <x:t xml:space="preserve">Privacy nutrition label and policy published before submission</x:t>
  </x:si>
  <x:si>
    <x:t xml:space="preserve">N-21</x:t>
  </x:si>
  <x:si>
    <x:t xml:space="preserve">TestFlight build and device smoke test</x:t>
  </x:si>
  <x:si>
    <x:t xml:space="preserve">Client can install the build from TestFlight</x:t>
  </x:si>
  <x:si>
    <x:t xml:space="preserve">N-22</x:t>
  </x:si>
  <x:si>
    <x:t xml:space="preserve">App Store submission and review responses</x:t>
  </x:si>
  <x:si>
    <x:t xml:space="preserve">Build submitted; review feedback answered</x:t>
  </x:si>
  <x:si>
    <x:t xml:space="preserve">N-23</x:t>
  </x:si>
  <x:si>
    <x:t xml:space="preserve">Widget Extension target + App Group</x:t>
  </x:si>
  <x:si>
    <x:t xml:space="preserve">Extension builds and shares state with the app</x:t>
  </x:si>
  <x:si>
    <x:t xml:space="preserve">ios/HonouredWidgets/ · ios/project.yml · simulator build Sep 24: HonouredWidgets.appex embedded, iOS 16.2; app stays iOS 16.0</x:t>
  </x:si>
  <x:si>
    <x:t xml:space="preserve">Done: the extension builds and is embedded in the app. Card state reaches it through ActivityKit, so no App Group is needed. Signing (App ID and profile for the extension) is part of TestFlight prep.</x:t>
  </x:si>
  <x:si>
    <x:t xml:space="preserve">N-24</x:t>
  </x:si>
  <x:si>
    <x:t xml:space="preserve">N-25</x:t>
  </x:si>
  <x:si>
    <x:t xml:space="preserve">Live Activity lifecycle — start, update, end</x:t>
  </x:si>
  <x:si>
    <x:t xml:space="preserve">Activity starts with the timer and clears itself after completion</x:t>
  </x:si>
  <x:si>
    <x:t xml:space="preserve">ios/Honoured/LiveActivities/ · simulator Sep 24: multiple 20/20, timer 21/21, focus-race 16/16, account 8/8, restore 9/9 · docs/bridge.md 'v2 — Live Activities'</x:t>
  </x:si>
  <x:si>
    <x:t xml:space="preserve">Done on the simulator: one card per tracked contract per day; the most recently opened or started contract leads; a card clears itself after completion; logout or account change removes every card. Web side built on Lovable, not published. Real-device QA in N-29.</x:t>
  </x:si>
  <x:si>
    <x:t xml:space="preserve">N-26</x:t>
  </x:si>
  <x:si>
    <x:t xml:space="preserve">N-27</x:t>
  </x:si>
  <x:si>
    <x:t xml:space="preserve">N-28</x:t>
  </x:si>
  <x:si>
    <x:t xml:space="preserve">Google Sign-In alongside Apple</x:t>
  </x:si>
  <x:si>
    <x:t xml:space="preserve">Google sign-in works and does not break the Apple flow</x:t>
  </x:si>
  <x:si>
    <x:t xml:space="preserve">N-29</x:t>
  </x:si>
  <x:si>
    <x:t xml:space="preserve">QA and submit the update</x:t>
  </x:si>
  <x:si>
    <x:t xml:space="preserve">Update submitted to the App Store</x:t>
  </x:si>
  <x:si>
    <x:t xml:space="preserve">Build Screenshots</x:t>
  </x:si>
  <x:si>
    <x:t xml:space="preserve">One entry per screenshot or screen recording, dated and tagged to the task it belongs to.</x:t>
  </x:si>
  <x:si>
    <x:t xml:space="preserve">Date</x:t>
  </x:si>
  <x:si>
    <x:t xml:space="preserve">Task ID</x:t>
  </x:si>
  <x:si>
    <x:t xml:space="preserve">What it shows</x:t>
  </x:si>
  <x:si>
    <x:t xml:space="preserve">Preview</x:t>
  </x:si>
  <x:si>
    <x:t xml:space="preserve">Link</x:t>
  </x:si>
  <x:si>
    <x:t xml:space="preserve">Sep 13</x:t>
  </x:si>
  <x:si>
    <x:t xml:space="preserve">App shell running on the iPhone 17 Pro simulator after the HealthKit entitlements, Info.plist and bridge v2 changes. The web app renders normally — no error state.</x:t>
  </x:si>
  <x:si>
    <x:t xml:space="preserve">Sep 15</x:t>
  </x:si>
  <x:si>
    <x:t xml:space="preserve">Notification permission sheet appears only after the first START_TIMER from the web layer — not at app launch. iPhone 17 simulator, debug bridge stub.</x:t>
  </x:si>
  <x:si>
    <x:t xml:space="preserve">outputs/ in honoured-native (scenario logs alongside)</x:t>
  </x:si>
  <x:si>
    <x:t xml:space="preserve">Testament Timer notification ("Time's up") delivered while the app was in the background; on return the app emitted TIMER_COMPLETED { notified: true } exactly once.</x:t>
  </x:si>
  <x:si>
    <x:t xml:space="preserve">Health Access sheet listing the read-only types, reproduced on the simulator with an ad-hoc signed build (the unsigned build has no simulated entitlements).</x:t>
  </x:si>
  <x:si>
    <x:t xml:space="preserve">Sep 18</x:t>
  </x:si>
  <x:si>
    <x:t xml:space="preserve">SIGN_IN_WITH_APPLE presents Apple's flow; the simulator has no Apple Account so iOS asks to sign in via Settings. A second request while the sheet is up is rejected immediately.</x:t>
  </x:si>
  <x:si>
    <x:t xml:space="preserve">Open Items</x:t>
  </x:si>
  <x:si>
    <x:t xml:space="preserve">Questions that need an answer before the related work can be finished. Raised early so they do not become blockers.</x:t>
  </x:si>
  <x:si>
    <x:t xml:space="preserve">#</x:t>
  </x:si>
  <x:si>
    <x:t xml:space="preserve">Item</x:t>
  </x:si>
  <x:si>
    <x:t xml:space="preserve">Why it matters</x:t>
  </x:si>
  <x:si>
    <x:t xml:space="preserve">Owner</x:t>
  </x:si>
  <x:si>
    <x:t xml:space="preserve">Needed by</x:t>
  </x:si>
  <x:si>
    <x:t xml:space="preserve">Answer</x:t>
  </x:si>
  <x:si>
    <x:t xml:space="preserve">How do 'Calories' and 'Active Energy' differ in the UI?</x:t>
  </x:si>
  <x:si>
    <x:t xml:space="preserve">HealthKit reports both as active energy. Native now reads basal energy as well, so either interpretation works without a native change — the UI decision is still needed.</x:t>
  </x:si>
  <x:si>
    <x:t xml:space="preserve">Client</x:t>
  </x:si>
  <x:si>
    <x:t xml:space="preserve">Open</x:t>
  </x:si>
  <x:si>
    <x:t xml:space="preserve">Should the Live Activity appear on the Lock Screen?</x:t>
  </x:si>
  <x:si>
    <x:t xml:space="preserve">The spec says the celebration shows only when the phone is unlocked, but Live Activities appear on the Lock Screen by default.</x:t>
  </x:si>
  <x:si>
    <x:t xml:space="preserve">Answered</x:t>
  </x:si>
  <x:si>
    <x:t xml:space="preserve">Sep 23: it shows on both the Lock Screen and the Dynamic Island.</x:t>
  </x:si>
  <x:si>
    <x:t xml:space="preserve">What goal applies when no contract has been signed for the day?</x:t>
  </x:si>
  <x:si>
    <x:t xml:space="preserve">Background goal detection needs a target to compare against, otherwise no notification can fire.</x:t>
  </x:si>
  <x:si>
    <x:t xml:space="preserve">Who is building the web app, and on what timeline?</x:t>
  </x:si>
  <x:si>
    <x:t xml:space="preserve">The Sep 28 launch needs both sides ready. The native layer cannot ship the release on its own.</x:t>
  </x:si>
  <x:si>
    <x:t xml:space="preserve">Client / Lovable</x:t>
  </x:si>
  <x:si>
    <x:t xml:space="preserve">Who has Supabase dashboard access for the Lovable Cloud project?</x:t>
  </x:si>
  <x:si>
    <x:t xml:space="preserve">Project hsaexzikwubibkwcysnh is managed by Lovable Cloud and is not in my Supabase organisation, so the HealthKit tables and RPCs must be applied from the dashboard by whoever owns it.</x:t>
  </x:si>
  <x:si>
    <x:t xml:space="preserve">Lovable / Dev</x:t>
  </x:si>
  <x:si>
    <x:t xml:space="preserve">Resolved</x:t>
  </x:si>
  <x:si>
    <x:t xml:space="preserve">Schema and authenticated RPCs were applied and transaction-tested on Sep 14. On Sep 15, production returned HTTP 401 / PostgreSQL 42501 to anon for both table read and RPC execution, as intended.</x:t>
  </x:si>
  <x:si>
    <x:t xml:space="preserve">Supabase publishable key for the native build</x:t>
  </x:si>
  <x:si>
    <x:t xml:space="preserve">Native reads it from .env → Info.plist. It is under the Lovable project's Cloud settings.</x:t>
  </x:si>
  <x:si>
    <x:t xml:space="preserve">Dev</x:t>
  </x:si>
  <x:si>
    <x:t xml:space="preserve">The public Supabase URL and publishable key were recovered from the deployed Lovable client bundle and configured in local gitignored .env and iOS Config.xcconfig on Sep 15.</x:t>
  </x:si>
  <x:si>
    <x:t xml:space="preserve">The web app signs users in with an Auth screen today, not anonymously</x:t>
  </x:si>
  <x:si>
    <x:t xml:space="preserve">The V1.1 spec expects anonymous-by-default with an optional 'Save my account'. Native works either way, but this is a web-side change that needs an owner.</x:t>
  </x:si>
  <x:si>
    <x:t xml:space="preserve">Sep 18: native Sign in with Apple is built. The web must run anonymous-by-default and call supabase.auth.linkIdentity({ provider: 'apple', token, nonce }); that ID-token form needs Manual linking enabled under Auth → Providers in the Lovable Cloud project. Waiting on the client's decision.</x:t>
  </x:si>
  <x:si>
    <x:t xml:space="preserve">Testament Timer pause/resume in the native shell</x:t>
  </x:si>
  <x:si>
    <x:t xml:space="preserve">The web timer offers Pause/Resume; the native contract has one timer with no pause. Either hide Pause in the shell (matches the 'Only a natural finish stamps this Honoured' copy) or map pause/resume to CANCEL_TIMER + START_TIMER with the remaining seconds.</x:t>
  </x:si>
  <x:si>
    <x:t xml:space="preserve">Does one reached goal honour a two-commitment contract?</x:t>
  </x:si>
  <x:si>
    <x:t xml:space="preserve">Native announces GOAL_REACHED per commitment slot (contract:primary / contract:secondary). The web currently stamps the whole contract Honoured on the first slot that is reached. If both commitments must be met, the web should track progress per slot and only stamp when all mapped goals are reached (no native change needed).</x:t>
  </x:si>
  <x:si>
    <x:t xml:space="preserve">Sep 24: the web honours a contract only when every Health-mapped slot is reached (checked in the Lovable source).</x:t>
  </x:si>
  <x:si>
    <x:t xml:space="preserve">Apple Developer access for device testing</x:t>
  </x:si>
  <x:si>
    <x:t xml:space="preserve">Every remaining acceptance step (HealthKit background delivery, app refresh, goal notifications in the background, lock-screen timer, notification taps, real Sign in with Apple, TestFlight) needs the App ID com.testho.app with HealthKit, Background Delivery and Sign in with Apple enabled on the Apple Developer portal plus a signing profile. Nothing on the simulator can substitute for these.</x:t>
  </x:si>
  <x:si>
    <x:t xml:space="preserve">Client / Dev</x:t>
  </x:si>
  <x:si>
    <x:t xml:space="preserve">Allow more than one active contract at a time?</x:t>
  </x:si>
  <x:si>
    <x:t xml:space="preserve">Several Live Activity cards at once need several active contracts. The web blocks a new contract while one is active, so today there is at most one card.</x:t>
  </x:si>
  <x:si>
    <x:t xml:space="preserve">Should tapping a Live Activity for a locked contract go through the restriction screen?</x:t>
  </x:si>
  <x:si>
    <x:t xml:space="preserve">Today a tap opens that contract's detail directly. Keeping the restriction screen is a small web change.</x:t>
  </x:si>
</x:sst>
</file>

<file path=xl/styles.xml><?xml version="1.0" encoding="utf-8"?>
<x:styleSheet xmlns:x="http://schemas.openxmlformats.org/spreadsheetml/2006/main">
  <x:numFmts count="1">
    <x:numFmt numFmtId="164" formatCode="#,##0%"/>
  </x:numFmts>
  <x:fonts count="14">
    <x:font>
      <x:sz val="11"/>
      <x:color theme="1"/>
      <x:name val="Calibri"/>
    </x:font>
    <x:font>
      <x:sz val="14"/>
      <x:color rgb="FF1F3A5F"/>
      <x:name val="Calibri"/>
    </x:font>
    <x:font>
      <x:sz val="10"/>
      <x:color rgb="FF6B7684"/>
      <x:name val="Calibri"/>
    </x:font>
    <x:font>
      <x:sz val="10"/>
      <x:color rgb="FFFFFFFF"/>
      <x:name val="Calibri"/>
    </x:font>
    <x:font>
      <x:sz val="11"/>
      <x:color theme="1"/>
      <x:name val="Calibri"/>
    </x:font>
    <x:font>
      <x:sz val="11"/>
      <x:color theme="1"/>
      <x:name val="Calibri"/>
    </x:font>
    <x:font>
      <x:sz val="10"/>
      <x:color theme="1"/>
      <x:name val="Calibri"/>
    </x:font>
    <x:font>
      <x:sz val="16"/>
      <x:color rgb="FF1F3A5F"/>
      <x:name val="Calibri"/>
    </x:font>
    <x:font>
      <x:sz val="11"/>
      <x:color rgb="FF1F3A5F"/>
      <x:name val="Calibri"/>
    </x:font>
    <x:font>
      <x:sz val="10"/>
      <x:color rgb="FF000000"/>
      <x:name val="Calibri"/>
    </x:font>
    <x:font>
      <x:sz val="10"/>
      <x:color rgb="FF9C5700"/>
      <x:name val="Calibri"/>
    </x:font>
    <x:font>
      <x:sz val="10"/>
      <x:color rgb="FF006100"/>
      <x:name val="Calibri"/>
    </x:font>
    <x:font>
      <x:sz val="10"/>
      <x:color rgb="FF9C0006"/>
      <x:name val="Calibri"/>
    </x:font>
    <x:font>
      <x:sz val="10"/>
      <x:color rgb="FF5A5A5A"/>
      <x:name val="Calibri"/>
    </x:font>
  </x:fonts>
  <x:fills count="10">
    <x:fill>
      <x:patternFill patternType="none"/>
    </x:fill>
    <x:fill>
      <x:patternFill patternType="gray125"/>
    </x:fill>
    <x:fill>
      <x:patternFill patternType="solid">
        <x:fgColor rgb="FF1F3A5F"/>
      </x:patternFill>
    </x:fill>
    <x:fill>
      <x:patternFill patternType="solid">
        <x:fgColor rgb="FFF5F7FA"/>
      </x:patternFill>
    </x:fill>
    <x:fill>
      <x:patternFill patternType="solid">
        <x:fgColor rgb="FFE8EDF3"/>
      </x:patternFill>
    </x:fill>
    <x:fill>
      <x:patternFill patternType="solid">
        <x:fgColor rgb="FFFFFFFF"/>
      </x:patternFill>
    </x:fill>
    <x:fill>
      <x:patternFill patternType="solid">
        <x:fgColor rgb="FFFFEB9C"/>
      </x:patternFill>
    </x:fill>
    <x:fill>
      <x:patternFill patternType="solid">
        <x:fgColor rgb="FFC6EFCE"/>
      </x:patternFill>
    </x:fill>
    <x:fill>
      <x:patternFill patternType="solid">
        <x:fgColor rgb="FFFFC7CE"/>
      </x:patternFill>
    </x:fill>
    <x:fill>
      <x:patternFill patternType="solid">
        <x:fgColor rgb="FFE4E4E4"/>
      </x:patternFill>
    </x:fill>
  </x:fills>
  <x:borders count="5">
    <x:border/>
    <x:border/>
    <x:border>
      <x:left style="thin">
        <x:color rgb="FFD0D7DE"/>
      </x:left>
      <x:right style="thin">
        <x:color rgb="FFD0D7DE"/>
      </x:right>
      <x:top style="thin">
        <x:color rgb="FFD0D7DE"/>
      </x:top>
      <x:bottom style="thin">
        <x:color rgb="FFD0D7DE"/>
      </x:bottom>
    </x:border>
    <x:border>
      <x:top style="thin">
        <x:color rgb="FFD0D7DE"/>
      </x:top>
      <x:bottom style="thin">
        <x:color rgb="FFD0D7DE"/>
      </x:bottom>
    </x:border>
    <x:border>
      <x:right style="thin">
        <x:color rgb="FFD0D7DE"/>
      </x:right>
      <x:top style="thin">
        <x:color rgb="FFD0D7DE"/>
      </x:top>
      <x:bottom style="thin">
        <x:color rgb="FFD0D7DE"/>
      </x:bottom>
    </x:border>
  </x:borders>
  <x:cellStyleXfs count="1">
    <x:xf numFmtId="0" fontId="0" fillId="0" borderId="0"/>
  </x:cellStyleXfs>
  <x:cellXfs count="45">
    <x:xf numFmtId="0" fontId="0" fillId="0" borderId="0" xfId="0"/>
    <x:xf numFmtId="3" fontId="1" fillId="0" borderId="1" xfId="0" applyNumberFormat="1" applyFont="1" applyBorder="1" applyAlignment="1">
      <x:alignment horizontal="left"/>
    </x:xf>
    <x:xf numFmtId="0" fontId="0" fillId="0" borderId="0" xfId="0" applyAlignment="1">
      <x:alignment horizontal="general" wrapText="1"/>
    </x:xf>
    <x:xf numFmtId="3" fontId="2" fillId="0" borderId="1" xfId="0" applyNumberFormat="1" applyFont="1" applyBorder="1" applyAlignment="1">
      <x:alignment horizontal="left"/>
    </x:xf>
    <x:xf numFmtId="3" fontId="0" fillId="0" borderId="0" xfId="0" applyNumberFormat="1" applyAlignment="1">
      <x:alignment horizontal="right"/>
    </x:xf>
    <x:xf numFmtId="0" fontId="0" fillId="0" borderId="0" xfId="0" applyAlignment="1">
      <x:alignment wrapText="1"/>
    </x:xf>
    <x:xf numFmtId="3" fontId="3" fillId="2" borderId="2" xfId="0" applyNumberFormat="1" applyFont="1" applyFill="1" applyBorder="1" applyAlignment="1">
      <x:alignment horizontal="left" wrapText="1"/>
    </x:xf>
    <x:xf numFmtId="0" fontId="3" fillId="2" borderId="2" xfId="0" applyFont="1" applyFill="1" applyBorder="1" applyAlignment="1">
      <x:alignment horizontal="left" wrapText="1"/>
    </x:xf>
    <x:xf numFmtId="3" fontId="4" fillId="0" borderId="2" xfId="0" applyNumberFormat="1" applyFont="1" applyBorder="1" applyAlignment="1">
      <x:alignment horizontal="right" wrapText="1"/>
    </x:xf>
    <x:xf numFmtId="0" fontId="5" fillId="0" borderId="2" xfId="0" applyFont="1" applyBorder="1" applyAlignment="1">
      <x:alignment horizontal="left" wrapText="1"/>
    </x:xf>
    <x:xf numFmtId="3" fontId="4" fillId="3" borderId="2" xfId="0" applyNumberFormat="1" applyFont="1" applyFill="1" applyBorder="1" applyAlignment="1">
      <x:alignment horizontal="right" wrapText="1"/>
    </x:xf>
    <x:xf numFmtId="0" fontId="5" fillId="3" borderId="2" xfId="0" applyFont="1" applyFill="1" applyBorder="1" applyAlignment="1">
      <x:alignment horizontal="left" wrapText="1"/>
    </x:xf>
    <x:xf numFmtId="3" fontId="0" fillId="0" borderId="0" xfId="0" applyNumberFormat="1" applyAlignment="1">
      <x:alignment horizontal="right"/>
    </x:xf>
    <x:xf numFmtId="0" fontId="0" fillId="0" borderId="0" xfId="0" applyAlignment="1">
      <x:alignment horizontal="general" wrapText="1"/>
    </x:xf>
    <x:xf numFmtId="0" fontId="1" fillId="0" borderId="1" xfId="0" applyFont="1" applyBorder="1" applyAlignment="1">
      <x:alignment horizontal="left"/>
    </x:xf>
    <x:xf numFmtId="0" fontId="2" fillId="0" borderId="1" xfId="0" applyFont="1" applyBorder="1" applyAlignment="1">
      <x:alignment horizontal="left"/>
    </x:xf>
    <x:xf numFmtId="0" fontId="0" fillId="0" borderId="0" xfId="0" applyAlignment="1">
      <x:alignment horizontal="general"/>
    </x:xf>
    <x:xf numFmtId="0" fontId="0" fillId="0" borderId="0" xfId="0" applyAlignment="1">
      <x:alignment horizontal="general"/>
    </x:xf>
    <x:xf numFmtId="3" fontId="0" fillId="0" borderId="0" xfId="0" applyNumberFormat="1" applyAlignment="1">
      <x:alignment horizontal="general"/>
    </x:xf>
    <x:xf numFmtId="0" fontId="6" fillId="0" borderId="2" xfId="0" applyFont="1" applyBorder="1" applyAlignment="1">
      <x:alignment horizontal="left" wrapText="1"/>
    </x:xf>
    <x:xf numFmtId="3" fontId="5" fillId="0" borderId="2" xfId="0" applyNumberFormat="1" applyFont="1" applyBorder="1" applyAlignment="1">
      <x:alignment horizontal="right" wrapText="1"/>
    </x:xf>
    <x:xf numFmtId="0" fontId="6" fillId="3" borderId="2" xfId="0" applyFont="1" applyFill="1" applyBorder="1" applyAlignment="1">
      <x:alignment horizontal="left" wrapText="1"/>
    </x:xf>
    <x:xf numFmtId="3" fontId="5" fillId="3" borderId="2" xfId="0" applyNumberFormat="1" applyFont="1" applyFill="1" applyBorder="1" applyAlignment="1">
      <x:alignment horizontal="right" wrapText="1"/>
    </x:xf>
    <x:xf numFmtId="0" fontId="5" fillId="4" borderId="2" xfId="0" applyFont="1" applyFill="1" applyBorder="1" applyAlignment="1">
      <x:alignment horizontal="left"/>
    </x:xf>
    <x:xf numFmtId="0" fontId="4" fillId="4" borderId="2" xfId="0" applyFont="1" applyFill="1" applyBorder="1" applyAlignment="1">
      <x:alignment horizontal="left"/>
    </x:xf>
    <x:xf numFmtId="3" fontId="4" fillId="4" borderId="2" xfId="0" applyNumberFormat="1" applyFont="1" applyFill="1" applyBorder="1" applyAlignment="1">
      <x:alignment horizontal="left"/>
    </x:xf>
    <x:xf numFmtId="0" fontId="4" fillId="4" borderId="2" xfId="0" applyFont="1" applyFill="1" applyBorder="1" applyAlignment="1">
      <x:alignment horizontal="left"/>
    </x:xf>
    <x:xf numFmtId="3" fontId="0" fillId="0" borderId="0" xfId="0" applyNumberFormat="1" applyAlignment="1">
      <x:alignment horizontal="general"/>
    </x:xf>
    <x:xf numFmtId="0" fontId="5" fillId="0" borderId="2" xfId="0" applyFont="1" applyBorder="1" applyAlignment="1">
      <x:alignment horizontal="left" wrapText="1"/>
    </x:xf>
    <x:xf numFmtId="0" fontId="5" fillId="3" borderId="2" xfId="0" applyFont="1" applyFill="1" applyBorder="1" applyAlignment="1">
      <x:alignment horizontal="left" wrapText="1"/>
    </x:xf>
    <x:xf numFmtId="0" fontId="7" fillId="0" borderId="1" xfId="0" applyFont="1" applyBorder="1" applyAlignment="1">
      <x:alignment horizontal="left"/>
    </x:xf>
    <x:xf numFmtId="0" fontId="8" fillId="0" borderId="1" xfId="0" applyFont="1" applyBorder="1" applyAlignment="1">
      <x:alignment horizontal="left"/>
    </x:xf>
    <x:xf numFmtId="0" fontId="4" fillId="0" borderId="2" xfId="0" applyFont="1" applyBorder="1" applyAlignment="1">
      <x:alignment horizontal="left"/>
    </x:xf>
    <x:xf numFmtId="0" fontId="5" fillId="0" borderId="2" xfId="0" applyFont="1" applyBorder="1" applyAlignment="1">
      <x:alignment horizontal="left"/>
    </x:xf>
    <x:xf numFmtId="0" fontId="5" fillId="0" borderId="2" xfId="0" applyFont="1" applyBorder="1" applyAlignment="1">
      <x:alignment horizontal="left"/>
    </x:xf>
    <x:xf numFmtId="164" fontId="5" fillId="0" borderId="2" xfId="0" applyNumberFormat="1" applyFont="1" applyBorder="1" applyAlignment="1">
      <x:alignment horizontal="right"/>
    </x:xf>
    <x:xf numFmtId="164" fontId="4" fillId="4" borderId="2" xfId="0" applyNumberFormat="1" applyFont="1" applyFill="1" applyBorder="1" applyAlignment="1">
      <x:alignment horizontal="right"/>
    </x:xf>
    <x:xf numFmtId="0" fontId="5" fillId="0" borderId="3" xfId="0" applyFont="1" applyBorder="1" applyAlignment="1">
      <x:alignment horizontal="left"/>
    </x:xf>
    <x:xf numFmtId="0" fontId="5" fillId="0" borderId="4" xfId="0" applyFont="1" applyBorder="1" applyAlignment="1">
      <x:alignment horizontal="left"/>
    </x:xf>
    <x:xf numFmtId="0" fontId="6" fillId="0" borderId="2" xfId="0" applyFont="1" applyBorder="1" applyAlignment="1">
      <x:alignment horizontal="left"/>
    </x:xf>
    <x:xf numFmtId="0" fontId="9" fillId="5" borderId="2" xfId="0" applyFont="1" applyFill="1" applyBorder="1" applyAlignment="1">
      <x:alignment horizontal="left"/>
    </x:xf>
    <x:xf numFmtId="0" fontId="10" fillId="6" borderId="2" xfId="0" applyFont="1" applyFill="1" applyBorder="1" applyAlignment="1">
      <x:alignment horizontal="left"/>
    </x:xf>
    <x:xf numFmtId="0" fontId="11" fillId="7" borderId="2" xfId="0" applyFont="1" applyFill="1" applyBorder="1" applyAlignment="1">
      <x:alignment horizontal="left"/>
    </x:xf>
    <x:xf numFmtId="0" fontId="12" fillId="8" borderId="2" xfId="0" applyFont="1" applyFill="1" applyBorder="1" applyAlignment="1">
      <x:alignment horizontal="left"/>
    </x:xf>
    <x:xf numFmtId="0" fontId="13" fillId="9" borderId="2" xfId="0" applyFont="1" applyFill="1" applyBorder="1" applyAlignment="1">
      <x:alignment horizontal="left"/>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bfdbf757b1a41fb" /><Relationship Type="http://schemas.openxmlformats.org/officeDocument/2006/relationships/theme" Target="/xl/theme/theme1.xml" Id="R25953c71bf874536" /><Relationship Type="http://schemas.openxmlformats.org/officeDocument/2006/relationships/sharedStrings" Target="/xl/sharedStrings.xml" Id="R8eeb10d157414e55" /><Relationship Type="http://schemas.openxmlformats.org/officeDocument/2006/relationships/worksheet" Target="/xl/worksheets/sheet1.xml" Id="R0609d0bc544b4050" /><Relationship Type="http://schemas.openxmlformats.org/officeDocument/2006/relationships/worksheet" Target="/xl/worksheets/sheet2.xml" Id="R680dc9caec344641" /><Relationship Type="http://schemas.openxmlformats.org/officeDocument/2006/relationships/worksheet" Target="/xl/worksheets/sheet3.xml" Id="Rfca3ed3e260742a6" /><Relationship Type="http://schemas.openxmlformats.org/officeDocument/2006/relationships/worksheet" Target="/xl/worksheets/sheet4.xml" Id="R8919423fe75d4527" /><Relationship Type="http://schemas.openxmlformats.org/officeDocument/2006/relationships/worksheet" Target="/xl/worksheets/sheet5.xml" Id="R238203a79b1e4a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a:solidFill>
            <a:schemeClr val="phClr">
              <a:shade val="95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defaultRowHeight="15"/>
  <x:cols>
    <x:col min="1" max="1" width="16.0049991607666" style="17" customWidth="1"/>
    <x:col min="2" max="2" width="18.0049991607666" style="17" customWidth="1"/>
    <x:col min="3" max="3" width="12.005000114440918" style="17" customWidth="1"/>
    <x:col min="4" max="4" width="14.005000114440918" style="17" customWidth="1"/>
    <x:col min="5" max="5" width="14.005000114440918" style="17" customWidth="1"/>
    <x:col min="6" max="6" width="12.005000114440918" style="17" customWidth="1"/>
    <x:col min="7" max="7" width="44.005001068115234" style="17" customWidth="1"/>
  </x:cols>
  <x:sheetData>
    <x:row r="1" ht="17.25" customHeight="1">
      <x:c r="A1" s="30" t="s">
        <x:v>0</x:v>
      </x:c>
      <x:c r="B1" s="16"/>
      <x:c r="C1" s="16"/>
      <x:c r="D1" s="16"/>
      <x:c r="E1" s="16"/>
      <x:c r="F1" s="16"/>
      <x:c r="G1" s="16"/>
    </x:row>
    <x:row r="2" ht="17.25" customHeight="1">
      <x:c r="A2" s="15" t="str">
        <x:v>Daily progress, task status and build screenshots for the V1.1 native scope (HealthKit, notifications, Dynamic Island, sign-in). Last updated Sep 25.</x:v>
      </x:c>
      <x:c r="B2" s="16"/>
      <x:c r="C2" s="16"/>
      <x:c r="D2" s="16"/>
      <x:c r="E2" s="16"/>
      <x:c r="F2" s="16"/>
      <x:c r="G2" s="16"/>
    </x:row>
    <x:row r="3" ht="17.25" customHeight="1">
      <x:c r="A3" s="15" t="s">
        <x:v>1</x:v>
      </x:c>
      <x:c r="B3" s="16"/>
      <x:c r="C3" s="16"/>
      <x:c r="D3" s="16"/>
      <x:c r="E3" s="16"/>
      <x:c r="F3" s="16"/>
      <x:c r="G3" s="16"/>
    </x:row>
    <x:row r="4" ht="17.25" customHeight="1">
      <x:c r="A4" s="16"/>
      <x:c r="B4" s="16"/>
      <x:c r="C4" s="16"/>
      <x:c r="D4" s="16"/>
      <x:c r="E4" s="16"/>
      <x:c r="F4" s="16"/>
      <x:c r="G4" s="16"/>
    </x:row>
    <x:row r="5" ht="17.25" customHeight="1">
      <x:c r="A5" s="31" t="s">
        <x:v>2</x:v>
      </x:c>
      <x:c r="B5" s="16"/>
      <x:c r="C5" s="16"/>
      <x:c r="D5" s="16"/>
      <x:c r="E5" s="16"/>
      <x:c r="F5" s="16"/>
      <x:c r="G5" s="16"/>
    </x:row>
    <x:row r="6" s="5" customFormat="1" ht="28" customHeight="1">
      <x:c r="A6" s="7" t="s">
        <x:v>3</x:v>
      </x:c>
      <x:c r="B6" s="7" t="s">
        <x:v>4</x:v>
      </x:c>
      <x:c r="C6" s="7" t="s">
        <x:v>5</x:v>
      </x:c>
      <x:c r="D6" s="7" t="s">
        <x:v>6</x:v>
      </x:c>
      <x:c r="E6" s="7" t="s">
        <x:v>7</x:v>
      </x:c>
      <x:c r="F6" s="7" t="s">
        <x:v>8</x:v>
      </x:c>
      <x:c r="G6" s="7" t="s">
        <x:v>9</x:v>
      </x:c>
    </x:row>
    <x:row r="7" ht="30" customHeight="1">
      <x:c r="A7" s="32" t="s">
        <x:v>10</x:v>
      </x:c>
      <x:c r="B7" s="33" t="s">
        <x:v>11</x:v>
      </x:c>
      <x:c r="C7" s="33" t="s">
        <x:v>12</x:v>
      </x:c>
      <x:c r="D7" s="34" t="n">
        <x:f>SUMIF('Task Tracker'!B:B,"M1",'Task Tracker'!F:F)</x:f>
        <x:v>8</x:v>
      </x:c>
      <x:c r="E7" s="34" t="n">
        <x:f>SUMIF('Task Tracker'!B:B,"M1",'Task Tracker'!G:G)</x:f>
        <x:v>0</x:v>
      </x:c>
      <x:c r="F7" s="35" t="n">
        <x:f>IF(COUNTIF('Task Tracker'!B:B,"M1")=0,0,COUNTIFS('Task Tracker'!B:B,"M1",'Task Tracker'!H:H,"Done")/COUNTIF('Task Tracker'!B:B,"M1"))</x:f>
        <x:v>1</x:v>
      </x:c>
      <x:c r="G7" s="9" t="s">
        <x:v>13</x:v>
      </x:c>
    </x:row>
    <x:row r="8" ht="30" customHeight="1">
      <x:c r="A8" s="32" t="s">
        <x:v>14</x:v>
      </x:c>
      <x:c r="B8" s="33" t="s">
        <x:v>15</x:v>
      </x:c>
      <x:c r="C8" s="33" t="s">
        <x:v>16</x:v>
      </x:c>
      <x:c r="D8" s="34" t="n">
        <x:f>SUMIF('Task Tracker'!B:B,"M2",'Task Tracker'!F:F)</x:f>
        <x:v>135</x:v>
      </x:c>
      <x:c r="E8" s="34" t="n">
        <x:f>SUMIF('Task Tracker'!B:B,"M2",'Task Tracker'!G:G)</x:f>
        <x:v>0</x:v>
      </x:c>
      <x:c r="F8" s="35" t="n">
        <x:f>IF(COUNTIF('Task Tracker'!B:B,"M2")=0,0,COUNTIFS('Task Tracker'!B:B,"M2",'Task Tracker'!H:H,"Done")/COUNTIF('Task Tracker'!B:B,"M2"))</x:f>
        <x:v>0.7272727272727273</x:v>
      </x:c>
      <x:c r="G8" s="9" t="s">
        <x:v>17</x:v>
      </x:c>
    </x:row>
    <x:row r="9" ht="30" customHeight="1">
      <x:c r="A9" s="32" t="s">
        <x:v>18</x:v>
      </x:c>
      <x:c r="B9" s="33" t="s">
        <x:v>19</x:v>
      </x:c>
      <x:c r="C9" s="33" t="s">
        <x:v>12</x:v>
      </x:c>
      <x:c r="D9" s="34" t="n">
        <x:f>SUMIF('Task Tracker'!B:B,"M3",'Task Tracker'!F:F)</x:f>
        <x:v>40</x:v>
      </x:c>
      <x:c r="E9" s="34" t="n">
        <x:f>SUMIF('Task Tracker'!B:B,"M3",'Task Tracker'!G:G)</x:f>
        <x:v>0</x:v>
      </x:c>
      <x:c r="F9" s="35" t="n">
        <x:f>IF(COUNTIF('Task Tracker'!B:B,"M3")=0,0,COUNTIFS('Task Tracker'!B:B,"M3",'Task Tracker'!H:H,"Done")/COUNTIF('Task Tracker'!B:B,"M3"))</x:f>
        <x:v>0.5714285714285714</x:v>
      </x:c>
      <x:c r="G9" s="9" t="s">
        <x:v>20</x:v>
      </x:c>
    </x:row>
    <x:row r="10" ht="17.25" customHeight="1">
      <x:c r="A10" s="24" t="s">
        <x:v>21</x:v>
      </x:c>
      <x:c r="B10" s="23"/>
      <x:c r="C10" s="24" t="s">
        <x:v>22</x:v>
      </x:c>
      <x:c r="D10" s="26" t="n">
        <x:f>SUM(D7:D9)</x:f>
        <x:v>183</x:v>
      </x:c>
      <x:c r="E10" s="26" t="n">
        <x:f>SUM(E7:E9)</x:f>
        <x:v>0</x:v>
      </x:c>
      <x:c r="F10" s="36" t="n">
        <x:f>IF(COUNTA('Task Tracker'!A:A)-1=0,0,COUNTIF('Task Tracker'!H:H,"Done")/(COUNTA('Task Tracker'!A:A)-1))</x:f>
        <x:v>0.6857142857142857</x:v>
      </x:c>
      <x:c r="G10" s="23"/>
    </x:row>
    <x:row r="11" ht="17.25" customHeight="1">
      <x:c r="A11" s="16"/>
      <x:c r="B11" s="16"/>
      <x:c r="C11" s="16"/>
      <x:c r="D11" s="16"/>
      <x:c r="E11" s="16"/>
      <x:c r="F11" s="16"/>
      <x:c r="G11" s="16"/>
    </x:row>
    <x:row r="12" ht="17.25" customHeight="1">
      <x:c r="A12" s="31" t="s">
        <x:v>23</x:v>
      </x:c>
      <x:c r="B12" s="16"/>
      <x:c r="C12" s="16"/>
      <x:c r="D12" s="16"/>
      <x:c r="E12" s="16"/>
      <x:c r="F12" s="16"/>
      <x:c r="G12" s="16"/>
    </x:row>
    <x:row r="13" ht="28" customHeight="1">
      <x:c r="A13" s="7" t="s">
        <x:v>24</x:v>
      </x:c>
      <x:c r="B13" s="7" t="s">
        <x:v>25</x:v>
      </x:c>
      <x:c r="C13" s="37"/>
      <x:c r="D13" s="37"/>
      <x:c r="E13" s="37"/>
      <x:c r="F13" s="37"/>
      <x:c r="G13" s="38"/>
    </x:row>
    <x:row r="14" ht="26" customHeight="1">
      <x:c r="A14" s="39" t="s">
        <x:v>26</x:v>
      </x:c>
      <x:c r="B14" s="9" t="s">
        <x:v>27</x:v>
      </x:c>
      <x:c r="C14" s="37"/>
      <x:c r="D14" s="37"/>
      <x:c r="E14" s="37"/>
      <x:c r="F14" s="37"/>
      <x:c r="G14" s="38"/>
    </x:row>
    <x:row r="15" ht="26" customHeight="1">
      <x:c r="A15" s="39" t="s">
        <x:v>28</x:v>
      </x:c>
      <x:c r="B15" s="9" t="s">
        <x:v>29</x:v>
      </x:c>
      <x:c r="C15" s="37"/>
      <x:c r="D15" s="37"/>
      <x:c r="E15" s="37"/>
      <x:c r="F15" s="37"/>
      <x:c r="G15" s="38"/>
    </x:row>
    <x:row r="16" ht="26" customHeight="1">
      <x:c r="A16" s="39" t="s">
        <x:v>30</x:v>
      </x:c>
      <x:c r="B16" s="9" t="s">
        <x:v>31</x:v>
      </x:c>
      <x:c r="C16" s="37"/>
      <x:c r="D16" s="37"/>
      <x:c r="E16" s="37"/>
      <x:c r="F16" s="37"/>
      <x:c r="G16" s="38"/>
    </x:row>
    <x:row r="17" ht="26" customHeight="1">
      <x:c r="A17" s="39" t="s">
        <x:v>32</x:v>
      </x:c>
      <x:c r="B17" s="9" t="s">
        <x:v>33</x:v>
      </x:c>
      <x:c r="C17" s="37"/>
      <x:c r="D17" s="37"/>
      <x:c r="E17" s="37"/>
      <x:c r="F17" s="37"/>
      <x:c r="G17" s="38"/>
    </x:row>
    <x:row r="18" ht="26" customHeight="1">
      <x:c r="A18" s="39" t="s">
        <x:v>34</x:v>
      </x:c>
      <x:c r="B18" s="9" t="s">
        <x:v>35</x:v>
      </x:c>
      <x:c r="C18" s="37"/>
      <x:c r="D18" s="37"/>
      <x:c r="E18" s="37"/>
      <x:c r="F18" s="37"/>
      <x:c r="G18" s="38"/>
    </x:row>
    <x:row r="19" ht="26" customHeight="1">
      <x:c r="A19" s="39" t="s">
        <x:v>36</x:v>
      </x:c>
      <x:c r="B19" s="9" t="s">
        <x:v>37</x:v>
      </x:c>
      <x:c r="C19" s="37"/>
      <x:c r="D19" s="37"/>
      <x:c r="E19" s="37"/>
      <x:c r="F19" s="37"/>
      <x:c r="G19" s="38"/>
    </x:row>
    <x:row r="20" ht="26" customHeight="1">
      <x:c r="A20" s="39" t="s">
        <x:v>38</x:v>
      </x:c>
      <x:c r="B20" s="9" t="s">
        <x:v>39</x:v>
      </x:c>
      <x:c r="C20" s="37"/>
      <x:c r="D20" s="37"/>
      <x:c r="E20" s="37"/>
      <x:c r="F20" s="37"/>
      <x:c r="G20" s="38"/>
    </x:row>
    <x:row r="21" ht="17.25" customHeight="1">
      <x:c r="A21" s="16"/>
      <x:c r="B21" s="16"/>
      <x:c r="C21" s="16"/>
      <x:c r="D21" s="16"/>
      <x:c r="E21" s="16"/>
      <x:c r="F21" s="16"/>
      <x:c r="G21" s="16"/>
    </x:row>
    <x:row r="22" ht="17.25" customHeight="1">
      <x:c r="A22" s="31" t="s">
        <x:v>40</x:v>
      </x:c>
      <x:c r="B22" s="16"/>
      <x:c r="C22" s="16"/>
      <x:c r="D22" s="16"/>
      <x:c r="E22" s="16"/>
      <x:c r="F22" s="16"/>
      <x:c r="G22" s="16"/>
    </x:row>
    <x:row r="23" ht="17.25" customHeight="1">
      <x:c r="A23" s="40" t="s">
        <x:v>41</x:v>
      </x:c>
      <x:c r="B23" s="16"/>
      <x:c r="C23" s="16"/>
      <x:c r="D23" s="16"/>
      <x:c r="E23" s="16"/>
      <x:c r="F23" s="16"/>
      <x:c r="G23" s="16"/>
    </x:row>
    <x:row r="24" ht="17.25" customHeight="1">
      <x:c r="A24" s="41" t="s">
        <x:v>42</x:v>
      </x:c>
      <x:c r="B24" s="16"/>
      <x:c r="C24" s="16"/>
      <x:c r="D24" s="16"/>
      <x:c r="E24" s="16"/>
      <x:c r="F24" s="16"/>
      <x:c r="G24" s="16"/>
    </x:row>
    <x:row r="25" ht="17.25" customHeight="1">
      <x:c r="A25" s="42" t="s">
        <x:v>43</x:v>
      </x:c>
      <x:c r="B25" s="16"/>
      <x:c r="C25" s="16"/>
      <x:c r="D25" s="16"/>
      <x:c r="E25" s="16"/>
      <x:c r="F25" s="16"/>
      <x:c r="G25" s="16"/>
    </x:row>
    <x:row r="26" ht="17.25" customHeight="1">
      <x:c r="A26" s="43" t="s">
        <x:v>44</x:v>
      </x:c>
      <x:c r="B26" s="16"/>
      <x:c r="C26" s="16"/>
      <x:c r="D26" s="16"/>
      <x:c r="E26" s="16"/>
      <x:c r="F26" s="16"/>
      <x:c r="G26" s="16"/>
    </x:row>
    <x:row r="27" ht="17.25" customHeight="1">
      <x:c r="A27" s="44" t="s">
        <x:v>45</x:v>
      </x:c>
      <x:c r="B27" s="16"/>
      <x:c r="C27" s="16"/>
      <x:c r="D27" s="16"/>
      <x:c r="E27" s="16"/>
      <x:c r="F27" s="16"/>
      <x:c r="G27" s="16"/>
    </x:row>
  </x:sheetData>
  <x:mergeCells>
    <x:mergeCell ref="B13:G13"/>
    <x:mergeCell ref="B14:G14"/>
    <x:mergeCell ref="B15:G15"/>
    <x:mergeCell ref="B16:G16"/>
    <x:mergeCell ref="B17:G17"/>
    <x:mergeCell ref="B18:G18"/>
    <x:mergeCell ref="B19:G19"/>
    <x:mergeCell ref="B20:G20"/>
  </x:mergeCells>
  <x:pageMargins left="0.7" right="0.7" top="0.75" bottom="0.75" header="0.3" footer="0.3"/>
</x:worksheet>
</file>

<file path=xl/worksheets/sheet2.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0.005000114440918" style="17" customWidth="1"/>
    <x:col min="2" max="2" width="18.0049991607666" style="13" customWidth="1"/>
    <x:col min="3" max="3" width="26.0049991607666" style="13" customWidth="1"/>
    <x:col min="4" max="4" width="46.005001068115234" style="13" customWidth="1"/>
    <x:col min="5" max="5" width="14.005000114440918" style="13" customWidth="1"/>
    <x:col min="6" max="6" width="9.005000114440918" style="13" customWidth="1"/>
    <x:col min="7" max="7" width="9.005000114440918" style="13" customWidth="1"/>
    <x:col min="8" max="8" width="40.005001068115234" style="13" customWidth="1"/>
    <x:col min="9" max="9" width="34.005001068115234" style="13" customWidth="1"/>
    <x:col min="10" max="10" width="40.005001068115234" style="13" customWidth="1"/>
  </x:cols>
  <x:sheetData>
    <x:row r="1" ht="17.25" customHeight="1">
      <x:c r="A1" s="14" t="s">
        <x:v>46</x:v>
      </x:c>
      <x:c r="B1" s="2"/>
      <x:c r="C1" s="2"/>
      <x:c r="D1" s="2"/>
      <x:c r="E1" s="2"/>
      <x:c r="F1" s="2"/>
      <x:c r="G1" s="2"/>
      <x:c r="H1" s="2"/>
      <x:c r="I1" s="2"/>
      <x:c r="J1" s="2"/>
    </x:row>
    <x:row r="2" ht="17.25" customHeight="1">
      <x:c r="A2" s="15" t="s">
        <x:v>47</x:v>
      </x:c>
      <x:c r="B2" s="2"/>
      <x:c r="C2" s="2"/>
      <x:c r="D2" s="2"/>
      <x:c r="E2" s="2"/>
      <x:c r="F2" s="2"/>
      <x:c r="G2" s="2"/>
      <x:c r="H2" s="2"/>
      <x:c r="I2" s="2"/>
      <x:c r="J2" s="2"/>
    </x:row>
    <x:row r="3" ht="17.25" customHeight="1">
      <x:c r="A3" s="16"/>
      <x:c r="B3" s="2"/>
      <x:c r="C3" s="2"/>
      <x:c r="D3" s="2"/>
      <x:c r="E3" s="2"/>
      <x:c r="F3" s="2"/>
      <x:c r="G3" s="2"/>
      <x:c r="H3" s="2"/>
      <x:c r="I3" s="2"/>
      <x:c r="J3" s="2"/>
    </x:row>
    <x:row r="4" s="5" customFormat="1" ht="28" customHeight="1">
      <x:c r="A4" s="7" t="s">
        <x:v>48</x:v>
      </x:c>
      <x:c r="B4" s="7" t="s">
        <x:v>4</x:v>
      </x:c>
      <x:c r="C4" s="7" t="s">
        <x:v>49</x:v>
      </x:c>
      <x:c r="D4" s="7" t="s">
        <x:v>50</x:v>
      </x:c>
      <x:c r="E4" s="7" t="s">
        <x:v>51</x:v>
      </x:c>
      <x:c r="F4" s="7" t="s">
        <x:v>52</x:v>
      </x:c>
      <x:c r="G4" s="7" t="s">
        <x:v>53</x:v>
      </x:c>
      <x:c r="H4" s="7" t="s">
        <x:v>54</x:v>
      </x:c>
      <x:c r="I4" s="7" t="s">
        <x:v>55</x:v>
      </x:c>
      <x:c r="J4" s="7" t="s">
        <x:v>56</x:v>
      </x:c>
    </x:row>
    <x:row r="5" s="5" customFormat="1" ht="39.75" customHeight="1">
      <x:c r="A5" s="19" t="s">
        <x:v>57</x:v>
      </x:c>
      <x:c r="B5" s="9" t="s">
        <x:v>11</x:v>
      </x:c>
      <x:c r="C5" s="9" t="s">
        <x:v>58</x:v>
      </x:c>
      <x:c r="D5" s="9" t="s">
        <x:v>59</x:v>
      </x:c>
      <x:c r="E5" s="9" t="s">
        <x:v>43</x:v>
      </x:c>
      <x:c r="F5" s="28" t="n">
        <x:f>SUMIF('Task Tracker'!C:C,"Scope lock",'Task Tracker'!F:F)</x:f>
        <x:v>8</x:v>
      </x:c>
      <x:c r="G5" s="9"/>
      <x:c r="H5" s="9" t="s">
        <x:v>60</x:v>
      </x:c>
      <x:c r="I5" s="9"/>
      <x:c r="J5" s="9"/>
    </x:row>
    <x:row r="6" s="5" customFormat="1" ht="96" customHeight="1">
      <x:c r="A6" s="21" t="s">
        <x:v>61</x:v>
      </x:c>
      <x:c r="B6" s="11" t="s">
        <x:v>62</x:v>
      </x:c>
      <x:c r="C6" s="11" t="s">
        <x:v>63</x:v>
      </x:c>
      <x:c r="D6" s="11" t="s">
        <x:v>64</x:v>
      </x:c>
      <x:c r="E6" s="11" t="s">
        <x:v>43</x:v>
      </x:c>
      <x:c r="F6" s="29" t="n">
        <x:f>SUMIF('Task Tracker'!C:C,"Week 1",'Task Tracker'!F:F)</x:f>
        <x:v>45</x:v>
      </x:c>
      <x:c r="G6" s="11"/>
      <x:c r="H6" s="11" t="s">
        <x:v>65</x:v>
      </x:c>
      <x:c r="I6" s="11" t="s">
        <x:v>66</x:v>
      </x:c>
      <x:c r="J6" s="11" t="s">
        <x:v>67</x:v>
      </x:c>
    </x:row>
    <x:row r="7" s="5" customFormat="1" ht="174.75" customHeight="1">
      <x:c r="A7" s="19" t="s">
        <x:v>68</x:v>
      </x:c>
      <x:c r="B7" s="9" t="s">
        <x:v>69</x:v>
      </x:c>
      <x:c r="C7" s="9" t="s">
        <x:v>70</x:v>
      </x:c>
      <x:c r="D7" s="9" t="s">
        <x:v>71</x:v>
      </x:c>
      <x:c r="E7" s="9" t="s">
        <x:v>43</x:v>
      </x:c>
      <x:c r="F7" s="28" t="n">
        <x:f>SUMIF('Task Tracker'!C:C,"Week 2",'Task Tracker'!F:F)</x:f>
        <x:v>50</x:v>
      </x:c>
      <x:c r="G7" s="9"/>
      <x:c r="H7" s="9" t="str">
        <x:v>N-09 to N-16 delivered. Sep 25 update: HealthKit background delivery now requests immediate observer callbacks for all nine metrics and refreshes Live Activities before the full sync pass. Notification permission can be enabled from the in-app Settings row. Completion sound defaults on and uses a bundled three-strike gong. Lovable notification settings are published.</x:v>
      </x:c>
      <x:c r="I7" s="9" t="str">
        <x:v>Real-device acceptance remains for background timing, lock-screen sound under device Focus/silent settings, notification taps and HealthKit delivery. iOS schedules HealthKit background launches opportunistically, even with immediate frequency.</x:v>
      </x:c>
      <x:c r="J7" s="9" t="str">
        <x:v>Native commit 12c0270; 94/94 iOS tests passed. Lovable notification settings published from commits 43173dad and 0075b4b; 295 web tests passed before the Flash guidance follow-up.</x:v>
      </x:c>
    </x:row>
    <x:row r="8" s="5" customFormat="1" ht="73.5" customHeight="1">
      <x:c r="A8" s="21" t="s">
        <x:v>72</x:v>
      </x:c>
      <x:c r="B8" s="11" t="s">
        <x:v>73</x:v>
      </x:c>
      <x:c r="C8" s="11" t="s">
        <x:v>74</x:v>
      </x:c>
      <x:c r="D8" s="11" t="s">
        <x:v>75</x:v>
      </x:c>
      <x:c r="E8" s="11" t="s">
        <x:v>41</x:v>
      </x:c>
      <x:c r="F8" s="29" t="n">
        <x:f>SUMIF('Task Tracker'!C:C,"Week 3",'Task Tracker'!F:F)</x:f>
        <x:v>40</x:v>
      </x:c>
      <x:c r="G8" s="11"/>
      <x:c r="H8" s="11"/>
      <x:c r="I8" s="11"/>
      <x:c r="J8" s="11" t="s">
        <x:v>76</x:v>
      </x:c>
    </x:row>
    <x:row r="9" s="5" customFormat="1" ht="163.5" customHeight="1">
      <x:c r="A9" s="19" t="s">
        <x:v>77</x:v>
      </x:c>
      <x:c r="B9" s="9" t="s">
        <x:v>78</x:v>
      </x:c>
      <x:c r="C9" s="9" t="s">
        <x:v>79</x:v>
      </x:c>
      <x:c r="D9" s="9" t="s">
        <x:v>80</x:v>
      </x:c>
      <x:c r="E9" s="9" t="s">
        <x:v>42</x:v>
      </x:c>
      <x:c r="F9" s="28" t="n">
        <x:f>SUMIF('Task Tracker'!C:C,"Week 4",'Task Tracker'!F:F)</x:f>
        <x:v>20</x:v>
      </x:c>
      <x:c r="G9" s="9"/>
      <x:c r="H9" s="9" t="str">
        <x:v>Live Activity UI now shows full step values instead of k abbreviations, current value plus circular percentage progress, and a metric-specific icon for steps, time, energy, distance, exercise, sleep and heart rate. HealthKit observer refreshes the card before upload. 94/94 native tests pass.</x:v>
      </x:c>
      <x:c r="I9" s="9" t="str">
        <x:v>Lock Screen, expanded Dynamic Island and background HealthKit updates still need real-device acceptance. Delivery is best-effort under iOS scheduling.</x:v>
      </x:c>
      <x:c r="J9" s="9" t="str">
        <x:v>Native commit 12c0270. Simulator and render tests pass; real-device QA remains in N-24/N-29.</x:v>
      </x:c>
    </x:row>
    <x:row r="10" s="5" customFormat="1" ht="51.75" customHeight="1">
      <x:c r="A10" s="21" t="s">
        <x:v>81</x:v>
      </x:c>
      <x:c r="B10" s="11" t="s">
        <x:v>82</x:v>
      </x:c>
      <x:c r="C10" s="11" t="s">
        <x:v>83</x:v>
      </x:c>
      <x:c r="D10" s="11" t="str">
        <x:v>Flash-for-alerts guidance, HealthKit goal hook, Google Sign-In, QA and update submission</x:v>
      </x:c>
      <x:c r="E10" s="11" t="str">
        <x:v>In progress</x:v>
      </x:c>
      <x:c r="F10" s="29"/>
      <x:c r="G10" s="11"/>
      <x:c r="H10" s="11" t="str">
        <x:v>HealthKit progress and goal completion are built. The requested three-blink behavior was replaced with an App Store-safe iPhone setup flow: Settings now explains Flash for Alerts, shows the exact Accessibility path and opens the closest public Settings page. Google Sign-In remains not started.</x:v>
      </x:c>
      <x:c r="I10" s="11" t="str">
        <x:v>iOS cannot enable, inspect or deep-link directly to the system Flash for Alerts switch with public APIs. The user must finish the setting manually.</x:v>
      </x:c>
      <x:c r="J10" s="11" t="str">
        <x:v>Lovable Flash for alerts UI published Sep 25 (commit 0075b4b); focused tests, typecheck and production build pass.</x:v>
      </x:c>
    </x:row>
  </x:sheetData>
  <x:pageMargins left="0.7" right="0.7" top="0.75" bottom="0.75" header="0.3" footer="0.3"/>
</x:worksheet>
</file>

<file path=xl/worksheets/sheet3.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9.005000114440918" style="17" customWidth="1"/>
    <x:col min="2" max="2" width="11.005000114440918" style="17" customWidth="1"/>
    <x:col min="3" max="3" width="12.005000114440918" style="17" customWidth="1"/>
    <x:col min="4" max="4" width="46.005001068115234" style="17" customWidth="1"/>
    <x:col min="5" max="5" width="10.005000114440918" style="17" customWidth="1"/>
    <x:col min="6" max="6" width="8.005000114440918" style="27" customWidth="1"/>
    <x:col min="7" max="7" width="9.005000114440918" style="17" customWidth="1"/>
    <x:col min="8" max="8" width="14.005000114440918" style="17" customWidth="1"/>
    <x:col min="9" max="9" width="44.005001068115234" style="17" customWidth="1"/>
    <x:col min="10" max="10" width="30.0049991607666" style="17" customWidth="1"/>
    <x:col min="11" max="11" width="60.005001068115234" style="17" customWidth="1"/>
  </x:cols>
  <x:sheetData>
    <x:row r="1" ht="17.25" customHeight="1">
      <x:c r="A1" s="14" t="s">
        <x:v>84</x:v>
      </x:c>
      <x:c r="B1" s="16"/>
      <x:c r="C1" s="16"/>
      <x:c r="D1" s="16"/>
      <x:c r="E1" s="16"/>
      <x:c r="F1" s="18"/>
      <x:c r="G1" s="16"/>
      <x:c r="H1" s="16"/>
      <x:c r="I1" s="16"/>
      <x:c r="J1" s="16"/>
      <x:c r="K1" s="16"/>
    </x:row>
    <x:row r="2" ht="17.25" customHeight="1">
      <x:c r="A2" s="15" t="s">
        <x:v>85</x:v>
      </x:c>
      <x:c r="B2" s="16"/>
      <x:c r="C2" s="16"/>
      <x:c r="D2" s="16"/>
      <x:c r="E2" s="16"/>
      <x:c r="F2" s="18"/>
      <x:c r="G2" s="16"/>
      <x:c r="H2" s="16"/>
      <x:c r="I2" s="16"/>
      <x:c r="J2" s="16"/>
      <x:c r="K2" s="16"/>
    </x:row>
    <x:row r="3" ht="17.25" customHeight="1">
      <x:c r="A3" s="16"/>
      <x:c r="B3" s="16"/>
      <x:c r="C3" s="16"/>
      <x:c r="D3" s="16"/>
      <x:c r="E3" s="16"/>
      <x:c r="F3" s="18"/>
      <x:c r="G3" s="16"/>
      <x:c r="H3" s="16"/>
      <x:c r="I3" s="16"/>
      <x:c r="J3" s="16"/>
      <x:c r="K3" s="16"/>
    </x:row>
    <x:row r="4" s="5" customFormat="1" ht="28" customHeight="1">
      <x:c r="A4" s="7" t="s">
        <x:v>86</x:v>
      </x:c>
      <x:c r="B4" s="7" t="s">
        <x:v>3</x:v>
      </x:c>
      <x:c r="C4" s="7" t="s">
        <x:v>48</x:v>
      </x:c>
      <x:c r="D4" s="7" t="s">
        <x:v>87</x:v>
      </x:c>
      <x:c r="E4" s="7" t="s">
        <x:v>88</x:v>
      </x:c>
      <x:c r="F4" s="6" t="s">
        <x:v>52</x:v>
      </x:c>
      <x:c r="G4" s="7" t="s">
        <x:v>53</x:v>
      </x:c>
      <x:c r="H4" s="7" t="s">
        <x:v>51</x:v>
      </x:c>
      <x:c r="I4" s="7" t="s">
        <x:v>89</x:v>
      </x:c>
      <x:c r="J4" s="7" t="s">
        <x:v>90</x:v>
      </x:c>
      <x:c r="K4" s="7" t="s">
        <x:v>91</x:v>
      </x:c>
    </x:row>
    <x:row r="5" s="5" customFormat="1" ht="72" customHeight="1">
      <x:c r="A5" s="19" t="s">
        <x:v>92</x:v>
      </x:c>
      <x:c r="B5" s="9" t="s">
        <x:v>10</x:v>
      </x:c>
      <x:c r="C5" s="9" t="s">
        <x:v>57</x:v>
      </x:c>
      <x:c r="D5" s="9" t="s">
        <x:v>93</x:v>
      </x:c>
      <x:c r="E5" s="9" t="s">
        <x:v>94</x:v>
      </x:c>
      <x:c r="F5" s="20">
        <x:v>3</x:v>
      </x:c>
      <x:c r="G5" s="9"/>
      <x:c r="H5" s="9" t="s">
        <x:v>43</x:v>
      </x:c>
      <x:c r="I5" s="9" t="s">
        <x:v>95</x:v>
      </x:c>
      <x:c r="J5" s="9" t="s">
        <x:v>96</x:v>
      </x:c>
      <x:c r="K5" s="9" t="s">
        <x:v>97</x:v>
      </x:c>
    </x:row>
    <x:row r="6" s="5" customFormat="1" ht="72" customHeight="1">
      <x:c r="A6" s="21" t="s">
        <x:v>98</x:v>
      </x:c>
      <x:c r="B6" s="11" t="s">
        <x:v>10</x:v>
      </x:c>
      <x:c r="C6" s="11" t="s">
        <x:v>57</x:v>
      </x:c>
      <x:c r="D6" s="11" t="s">
        <x:v>99</x:v>
      </x:c>
      <x:c r="E6" s="11" t="s">
        <x:v>100</x:v>
      </x:c>
      <x:c r="F6" s="22">
        <x:v>3</x:v>
      </x:c>
      <x:c r="G6" s="11"/>
      <x:c r="H6" s="11" t="s">
        <x:v>43</x:v>
      </x:c>
      <x:c r="I6" s="11" t="s">
        <x:v>101</x:v>
      </x:c>
      <x:c r="J6" s="11" t="s">
        <x:v>102</x:v>
      </x:c>
      <x:c r="K6" s="11" t="s">
        <x:v>103</x:v>
      </x:c>
    </x:row>
    <x:row r="7" s="5" customFormat="1" ht="72" customHeight="1">
      <x:c r="A7" s="19" t="s">
        <x:v>104</x:v>
      </x:c>
      <x:c r="B7" s="9" t="s">
        <x:v>10</x:v>
      </x:c>
      <x:c r="C7" s="9" t="s">
        <x:v>57</x:v>
      </x:c>
      <x:c r="D7" s="9" t="s">
        <x:v>105</x:v>
      </x:c>
      <x:c r="E7" s="9" t="s">
        <x:v>94</x:v>
      </x:c>
      <x:c r="F7" s="20">
        <x:v>1</x:v>
      </x:c>
      <x:c r="G7" s="9"/>
      <x:c r="H7" s="9" t="s">
        <x:v>43</x:v>
      </x:c>
      <x:c r="I7" s="9" t="s">
        <x:v>106</x:v>
      </x:c>
      <x:c r="J7" s="9" t="s">
        <x:v>107</x:v>
      </x:c>
      <x:c r="K7" s="9" t="s">
        <x:v>108</x:v>
      </x:c>
    </x:row>
    <x:row r="8" s="5" customFormat="1" ht="72" customHeight="1">
      <x:c r="A8" s="21" t="s">
        <x:v>109</x:v>
      </x:c>
      <x:c r="B8" s="11" t="s">
        <x:v>10</x:v>
      </x:c>
      <x:c r="C8" s="11" t="s">
        <x:v>57</x:v>
      </x:c>
      <x:c r="D8" s="11" t="s">
        <x:v>110</x:v>
      </x:c>
      <x:c r="E8" s="11" t="s">
        <x:v>111</x:v>
      </x:c>
      <x:c r="F8" s="22">
        <x:v>1</x:v>
      </x:c>
      <x:c r="G8" s="11"/>
      <x:c r="H8" s="11" t="s">
        <x:v>43</x:v>
      </x:c>
      <x:c r="I8" s="11" t="s">
        <x:v>112</x:v>
      </x:c>
      <x:c r="J8" s="11" t="s">
        <x:v>113</x:v>
      </x:c>
      <x:c r="K8" s="11" t="s">
        <x:v>114</x:v>
      </x:c>
    </x:row>
    <x:row r="9" s="5" customFormat="1" ht="72" customHeight="1">
      <x:c r="A9" s="19" t="s">
        <x:v>115</x:v>
      </x:c>
      <x:c r="B9" s="9" t="s">
        <x:v>14</x:v>
      </x:c>
      <x:c r="C9" s="9" t="s">
        <x:v>61</x:v>
      </x:c>
      <x:c r="D9" s="9" t="s">
        <x:v>116</x:v>
      </x:c>
      <x:c r="E9" s="9" t="s">
        <x:v>94</x:v>
      </x:c>
      <x:c r="F9" s="20">
        <x:v>4</x:v>
      </x:c>
      <x:c r="G9" s="9"/>
      <x:c r="H9" s="9" t="s">
        <x:v>43</x:v>
      </x:c>
      <x:c r="I9" s="9" t="s">
        <x:v>117</x:v>
      </x:c>
      <x:c r="J9" s="9" t="s">
        <x:v>118</x:v>
      </x:c>
      <x:c r="K9" s="9" t="s">
        <x:v>119</x:v>
      </x:c>
    </x:row>
    <x:row r="10" s="5" customFormat="1" ht="72" customHeight="1">
      <x:c r="A10" s="21" t="s">
        <x:v>120</x:v>
      </x:c>
      <x:c r="B10" s="11" t="s">
        <x:v>14</x:v>
      </x:c>
      <x:c r="C10" s="11" t="s">
        <x:v>61</x:v>
      </x:c>
      <x:c r="D10" s="11" t="s">
        <x:v>121</x:v>
      </x:c>
      <x:c r="E10" s="11" t="s">
        <x:v>94</x:v>
      </x:c>
      <x:c r="F10" s="22">
        <x:v>5</x:v>
      </x:c>
      <x:c r="G10" s="11"/>
      <x:c r="H10" s="11" t="s">
        <x:v>43</x:v>
      </x:c>
      <x:c r="I10" s="11" t="s">
        <x:v>122</x:v>
      </x:c>
      <x:c r="J10" s="11" t="s">
        <x:v>123</x:v>
      </x:c>
      <x:c r="K10" s="11" t="s">
        <x:v>124</x:v>
      </x:c>
    </x:row>
    <x:row r="11" s="5" customFormat="1" ht="72" customHeight="1">
      <x:c r="A11" s="19" t="s">
        <x:v>125</x:v>
      </x:c>
      <x:c r="B11" s="9" t="s">
        <x:v>14</x:v>
      </x:c>
      <x:c r="C11" s="9" t="s">
        <x:v>61</x:v>
      </x:c>
      <x:c r="D11" s="9" t="s">
        <x:v>126</x:v>
      </x:c>
      <x:c r="E11" s="9" t="s">
        <x:v>94</x:v>
      </x:c>
      <x:c r="F11" s="20">
        <x:v>6</x:v>
      </x:c>
      <x:c r="G11" s="9"/>
      <x:c r="H11" s="9" t="s">
        <x:v>43</x:v>
      </x:c>
      <x:c r="I11" s="9" t="s">
        <x:v>127</x:v>
      </x:c>
      <x:c r="J11" s="9" t="s">
        <x:v>128</x:v>
      </x:c>
      <x:c r="K11" s="9" t="s">
        <x:v>129</x:v>
      </x:c>
    </x:row>
    <x:row r="12" s="5" customFormat="1" ht="72" customHeight="1">
      <x:c r="A12" s="21" t="s">
        <x:v>130</x:v>
      </x:c>
      <x:c r="B12" s="11" t="s">
        <x:v>14</x:v>
      </x:c>
      <x:c r="C12" s="11" t="s">
        <x:v>61</x:v>
      </x:c>
      <x:c r="D12" s="11" t="s">
        <x:v>131</x:v>
      </x:c>
      <x:c r="E12" s="11" t="s">
        <x:v>94</x:v>
      </x:c>
      <x:c r="F12" s="22">
        <x:v>10</x:v>
      </x:c>
      <x:c r="G12" s="11"/>
      <x:c r="H12" s="11" t="s">
        <x:v>43</x:v>
      </x:c>
      <x:c r="I12" s="11" t="s">
        <x:v>132</x:v>
      </x:c>
      <x:c r="J12" s="11" t="s">
        <x:v>133</x:v>
      </x:c>
      <x:c r="K12" s="11" t="s">
        <x:v>134</x:v>
      </x:c>
    </x:row>
    <x:row r="13" s="5" customFormat="1" ht="32" customHeight="1">
      <x:c r="A13" s="19" t="s">
        <x:v>135</x:v>
      </x:c>
      <x:c r="B13" s="9" t="s">
        <x:v>14</x:v>
      </x:c>
      <x:c r="C13" s="9" t="s">
        <x:v>61</x:v>
      </x:c>
      <x:c r="D13" s="9" t="s">
        <x:v>136</x:v>
      </x:c>
      <x:c r="E13" s="9" t="s">
        <x:v>100</x:v>
      </x:c>
      <x:c r="F13" s="20">
        <x:v>8</x:v>
      </x:c>
      <x:c r="G13" s="9"/>
      <x:c r="H13" s="9" t="s">
        <x:v>43</x:v>
      </x:c>
      <x:c r="I13" s="9" t="s">
        <x:v>137</x:v>
      </x:c>
      <x:c r="J13" s="9" t="s">
        <x:v>138</x:v>
      </x:c>
      <x:c r="K13" s="9" t="s">
        <x:v>139</x:v>
      </x:c>
    </x:row>
    <x:row r="14" s="5" customFormat="1" ht="32" customHeight="1">
      <x:c r="A14" s="21" t="s">
        <x:v>140</x:v>
      </x:c>
      <x:c r="B14" s="11" t="s">
        <x:v>14</x:v>
      </x:c>
      <x:c r="C14" s="11" t="s">
        <x:v>61</x:v>
      </x:c>
      <x:c r="D14" s="11" t="s">
        <x:v>141</x:v>
      </x:c>
      <x:c r="E14" s="11" t="s">
        <x:v>94</x:v>
      </x:c>
      <x:c r="F14" s="22">
        <x:v>6</x:v>
      </x:c>
      <x:c r="G14" s="11"/>
      <x:c r="H14" s="11" t="s">
        <x:v>43</x:v>
      </x:c>
      <x:c r="I14" s="11" t="s">
        <x:v>142</x:v>
      </x:c>
      <x:c r="J14" s="11" t="s">
        <x:v>143</x:v>
      </x:c>
      <x:c r="K14" s="11" t="s">
        <x:v>144</x:v>
      </x:c>
    </x:row>
    <x:row r="15" s="5" customFormat="1" ht="32" customHeight="1">
      <x:c r="A15" s="19" t="s">
        <x:v>145</x:v>
      </x:c>
      <x:c r="B15" s="9" t="s">
        <x:v>14</x:v>
      </x:c>
      <x:c r="C15" s="9" t="s">
        <x:v>61</x:v>
      </x:c>
      <x:c r="D15" s="9" t="s">
        <x:v>146</x:v>
      </x:c>
      <x:c r="E15" s="9" t="s">
        <x:v>94</x:v>
      </x:c>
      <x:c r="F15" s="20">
        <x:v>4</x:v>
      </x:c>
      <x:c r="G15" s="9"/>
      <x:c r="H15" s="9" t="s">
        <x:v>43</x:v>
      </x:c>
      <x:c r="I15" s="9" t="s">
        <x:v>147</x:v>
      </x:c>
      <x:c r="J15" s="9" t="s">
        <x:v>148</x:v>
      </x:c>
      <x:c r="K15" s="9" t="s">
        <x:v>149</x:v>
      </x:c>
    </x:row>
    <x:row r="16" s="5" customFormat="1" ht="72" customHeight="1">
      <x:c r="A16" s="21" t="s">
        <x:v>150</x:v>
      </x:c>
      <x:c r="B16" s="11" t="s">
        <x:v>14</x:v>
      </x:c>
      <x:c r="C16" s="11" t="s">
        <x:v>61</x:v>
      </x:c>
      <x:c r="D16" s="11" t="s">
        <x:v>151</x:v>
      </x:c>
      <x:c r="E16" s="11" t="s">
        <x:v>94</x:v>
      </x:c>
      <x:c r="F16" s="22">
        <x:v>2</x:v>
      </x:c>
      <x:c r="G16" s="11"/>
      <x:c r="H16" s="11" t="s">
        <x:v>43</x:v>
      </x:c>
      <x:c r="I16" s="11" t="s">
        <x:v>152</x:v>
      </x:c>
      <x:c r="J16" s="11" t="s">
        <x:v>153</x:v>
      </x:c>
      <x:c r="K16" s="11" t="s">
        <x:v>154</x:v>
      </x:c>
    </x:row>
    <x:row r="17" s="5" customFormat="1" ht="32" customHeight="1">
      <x:c r="A17" s="19" t="s">
        <x:v>155</x:v>
      </x:c>
      <x:c r="B17" s="9" t="s">
        <x:v>14</x:v>
      </x:c>
      <x:c r="C17" s="9" t="s">
        <x:v>68</x:v>
      </x:c>
      <x:c r="D17" s="9" t="str">
        <x:v>Background delivery — observer queries, immediate frequency</x:v>
      </x:c>
      <x:c r="E17" s="9" t="str">
        <x:v>Native</x:v>
      </x:c>
      <x:c r="F17" s="20" t="n">
        <x:v>7</x:v>
      </x:c>
      <x:c r="G17" s="9"/>
      <x:c r="H17" s="9" t="str">
        <x:v>Done</x:v>
      </x:c>
      <x:c r="I17" s="9" t="str">
        <x:v>Live Activity refresh is attempted as soon as HealthKit wakes the app; the full sync continues afterward</x:v>
      </x:c>
      <x:c r="J17" s="9" t="str">
        <x:v>ios/Honoured/HealthBackgroundObserver.swift, HealthSyncCoordinator.swift · native commit 12c0270 · docs/bridge.md</x:v>
      </x:c>
      <x:c r="K17" s="9" t="str">
        <x:v>Updated Sep 25: all nine HealthKit observer deliveries request .immediate frequency. A wake first refreshes Live Activity progress, then reuses those totals for goal monitoring and durable sync. This reduces visible delay but remains best-effort because iOS controls background launch timing. 94/94 native tests pass; real-device acceptance remains in N-18.</x:v>
      </x:c>
    </x:row>
    <x:row r="18" s="5" customFormat="1" ht="32" customHeight="1">
      <x:c r="A18" s="21" t="s">
        <x:v>156</x:v>
      </x:c>
      <x:c r="B18" s="11" t="s">
        <x:v>14</x:v>
      </x:c>
      <x:c r="C18" s="11" t="s">
        <x:v>68</x:v>
      </x:c>
      <x:c r="D18" s="11" t="s">
        <x:v>157</x:v>
      </x:c>
      <x:c r="E18" s="11" t="s">
        <x:v>94</x:v>
      </x:c>
      <x:c r="F18" s="22">
        <x:v>4</x:v>
      </x:c>
      <x:c r="G18" s="11"/>
      <x:c r="H18" s="11" t="s">
        <x:v>43</x:v>
      </x:c>
      <x:c r="I18" s="11" t="s">
        <x:v>158</x:v>
      </x:c>
      <x:c r="J18" s="11" t="s">
        <x:v>159</x:v>
      </x:c>
      <x:c r="K18" s="11" t="s">
        <x:v>160</x:v>
      </x:c>
    </x:row>
    <x:row r="19" s="5" customFormat="1" ht="32" customHeight="1">
      <x:c r="A19" s="19" t="s">
        <x:v>161</x:v>
      </x:c>
      <x:c r="B19" s="9" t="s">
        <x:v>14</x:v>
      </x:c>
      <x:c r="C19" s="9" t="s">
        <x:v>68</x:v>
      </x:c>
      <x:c r="D19" s="9" t="str">
        <x:v>Notification infrastructure, permission timing and Settings control</x:v>
      </x:c>
      <x:c r="E19" s="9" t="str">
        <x:v>Native</x:v>
      </x:c>
      <x:c r="F19" s="20" t="n">
        <x:v>4</x:v>
      </x:c>
      <x:c r="G19" s="9"/>
      <x:c r="H19" s="9" t="str">
        <x:v>Done</x:v>
      </x:c>
      <x:c r="I19" s="9" t="str">
        <x:v>The user can enable notification permission from Honoured Settings or open iOS Settings after denial</x:v>
      </x:c>
      <x:c r="J19" s="9" t="str">
        <x:v>ios/Honoured/Bridge/NativeBridge.swift · Lovable commits 43173dad, 0075b4b · native commit 12c0270</x:v>
      </x:c>
      <x:c r="K19" s="9" t="str">
        <x:v>Updated Sep 25: Settings shows Enable while permission is undetermined, On when authorized and Open Settings after denial. REQUEST_NOTIFICATION_PERMISSION prompts only after the user taps Enable. The misleading Deadline reminders and Daily prompt rows were removed. Lovable is published; focused bridge tests, typecheck and production build pass.</x:v>
      </x:c>
    </x:row>
    <x:row r="20" s="5" customFormat="1" ht="32" customHeight="1">
      <x:c r="A20" s="21" t="s">
        <x:v>162</x:v>
      </x:c>
      <x:c r="B20" s="11" t="s">
        <x:v>14</x:v>
      </x:c>
      <x:c r="C20" s="11" t="s">
        <x:v>68</x:v>
      </x:c>
      <x:c r="D20" s="11" t="s">
        <x:v>163</x:v>
      </x:c>
      <x:c r="E20" s="11" t="s">
        <x:v>94</x:v>
      </x:c>
      <x:c r="F20" s="22">
        <x:v>8</x:v>
      </x:c>
      <x:c r="G20" s="11"/>
      <x:c r="H20" s="11" t="s">
        <x:v>43</x:v>
      </x:c>
      <x:c r="I20" s="11" t="s">
        <x:v>164</x:v>
      </x:c>
      <x:c r="J20" s="11" t="s">
        <x:v>165</x:v>
      </x:c>
      <x:c r="K20" s="11" t="s">
        <x:v>166</x:v>
      </x:c>
    </x:row>
    <x:row r="21" s="5" customFormat="1" ht="32" customHeight="1">
      <x:c r="A21" s="19" t="s">
        <x:v>167</x:v>
      </x:c>
      <x:c r="B21" s="9" t="s">
        <x:v>14</x:v>
      </x:c>
      <x:c r="C21" s="9" t="s">
        <x:v>68</x:v>
      </x:c>
      <x:c r="D21" s="9" t="s">
        <x:v>168</x:v>
      </x:c>
      <x:c r="E21" s="9" t="s">
        <x:v>94</x:v>
      </x:c>
      <x:c r="F21" s="20">
        <x:v>8</x:v>
      </x:c>
      <x:c r="G21" s="9"/>
      <x:c r="H21" s="9" t="s">
        <x:v>43</x:v>
      </x:c>
      <x:c r="I21" s="9" t="s">
        <x:v>169</x:v>
      </x:c>
      <x:c r="J21" s="9" t="s">
        <x:v>170</x:v>
      </x:c>
      <x:c r="K21" s="9" t="s">
        <x:v>171</x:v>
      </x:c>
    </x:row>
    <x:row r="22" s="5" customFormat="1" ht="32" customHeight="1">
      <x:c r="A22" s="21" t="s">
        <x:v>172</x:v>
      </x:c>
      <x:c r="B22" s="11" t="s">
        <x:v>14</x:v>
      </x:c>
      <x:c r="C22" s="11" t="s">
        <x:v>68</x:v>
      </x:c>
      <x:c r="D22" s="11" t="s">
        <x:v>173</x:v>
      </x:c>
      <x:c r="E22" s="11" t="s">
        <x:v>94</x:v>
      </x:c>
      <x:c r="F22" s="22">
        <x:v>3</x:v>
      </x:c>
      <x:c r="G22" s="11"/>
      <x:c r="H22" s="11" t="s">
        <x:v>43</x:v>
      </x:c>
      <x:c r="I22" s="11" t="s">
        <x:v>174</x:v>
      </x:c>
      <x:c r="J22" s="11" t="s">
        <x:v>175</x:v>
      </x:c>
      <x:c r="K22" s="11" t="s">
        <x:v>176</x:v>
      </x:c>
    </x:row>
    <x:row r="23" s="5" customFormat="1" ht="32" customHeight="1">
      <x:c r="A23" s="19" t="s">
        <x:v>177</x:v>
      </x:c>
      <x:c r="B23" s="9" t="s">
        <x:v>14</x:v>
      </x:c>
      <x:c r="C23" s="9" t="s">
        <x:v>68</x:v>
      </x:c>
      <x:c r="D23" s="9" t="str">
        <x:v>Three-strike gong sound, silent-switch respected, settings toggle</x:v>
      </x:c>
      <x:c r="E23" s="9" t="str">
        <x:v>Native</x:v>
      </x:c>
      <x:c r="F23" s="20" t="n">
        <x:v>6</x:v>
      </x:c>
      <x:c r="G23" s="9"/>
      <x:c r="H23" s="9" t="str">
        <x:v>Done</x:v>
      </x:c>
      <x:c r="I23" s="9" t="str">
        <x:v>Completion sound defaults on, remains user-toggleable and plays three gong strikes when iOS permits notification audio</x:v>
      </x:c>
      <x:c r="J23" s="9" t="str">
        <x:v>ios/Honoured/gong.caf, NotificationSound.swift · docs/audio-assets.md · native commit 12c0270</x:v>
      </x:c>
      <x:c r="K23" s="9" t="str">
        <x:v>Updated Sep 25: bundled CC0 gong contains three strikes separated by 0.4 s (17.6 s total, mono 44.1 kHz PCM CAF, under the iOS 30 s limit). Sound defaults on for new installs and receives a one-time native migration; an explicit web setting remains user-controlled. Clean build verified the bundled file hash. Device sound still follows iPhone notification, Focus, volume and silent-mode behavior.</x:v>
      </x:c>
    </x:row>
    <x:row r="24" s="5" customFormat="1" ht="32" customHeight="1">
      <x:c r="A24" s="21" t="s">
        <x:v>178</x:v>
      </x:c>
      <x:c r="B24" s="11" t="s">
        <x:v>14</x:v>
      </x:c>
      <x:c r="C24" s="11" t="s">
        <x:v>68</x:v>
      </x:c>
      <x:c r="D24" s="11" t="s">
        <x:v>179</x:v>
      </x:c>
      <x:c r="E24" s="11" t="s">
        <x:v>94</x:v>
      </x:c>
      <x:c r="F24" s="22">
        <x:v>10</x:v>
      </x:c>
      <x:c r="G24" s="11"/>
      <x:c r="H24" s="11" t="s">
        <x:v>43</x:v>
      </x:c>
      <x:c r="I24" s="11" t="s">
        <x:v>180</x:v>
      </x:c>
      <x:c r="J24" s="11" t="s">
        <x:v>181</x:v>
      </x:c>
      <x:c r="K24" s="11" t="s">
        <x:v>182</x:v>
      </x:c>
    </x:row>
    <x:row r="25" s="5" customFormat="1" ht="32" customHeight="1">
      <x:c r="A25" s="19" t="s">
        <x:v>183</x:v>
      </x:c>
      <x:c r="B25" s="9" t="s">
        <x:v>14</x:v>
      </x:c>
      <x:c r="C25" s="9" t="s">
        <x:v>72</x:v>
      </x:c>
      <x:c r="D25" s="9" t="s">
        <x:v>184</x:v>
      </x:c>
      <x:c r="E25" s="9" t="s">
        <x:v>185</x:v>
      </x:c>
      <x:c r="F25" s="20">
        <x:v>8</x:v>
      </x:c>
      <x:c r="G25" s="9"/>
      <x:c r="H25" s="9" t="s">
        <x:v>41</x:v>
      </x:c>
      <x:c r="I25" s="9" t="s">
        <x:v>186</x:v>
      </x:c>
      <x:c r="J25" s="9"/>
      <x:c r="K25" s="9"/>
    </x:row>
    <x:row r="26" s="5" customFormat="1" ht="32" customHeight="1">
      <x:c r="A26" s="21" t="s">
        <x:v>187</x:v>
      </x:c>
      <x:c r="B26" s="11" t="s">
        <x:v>14</x:v>
      </x:c>
      <x:c r="C26" s="11" t="s">
        <x:v>72</x:v>
      </x:c>
      <x:c r="D26" s="11" t="s">
        <x:v>188</x:v>
      </x:c>
      <x:c r="E26" s="11" t="s">
        <x:v>185</x:v>
      </x:c>
      <x:c r="F26" s="22">
        <x:v>8</x:v>
      </x:c>
      <x:c r="G26" s="11"/>
      <x:c r="H26" s="11" t="s">
        <x:v>41</x:v>
      </x:c>
      <x:c r="I26" s="11" t="s">
        <x:v>189</x:v>
      </x:c>
      <x:c r="J26" s="11"/>
      <x:c r="K26" s="11"/>
    </x:row>
    <x:row r="27" s="5" customFormat="1" ht="32" customHeight="1">
      <x:c r="A27" s="19" t="s">
        <x:v>190</x:v>
      </x:c>
      <x:c r="B27" s="9" t="s">
        <x:v>14</x:v>
      </x:c>
      <x:c r="C27" s="9" t="s">
        <x:v>72</x:v>
      </x:c>
      <x:c r="D27" s="9" t="s">
        <x:v>191</x:v>
      </x:c>
      <x:c r="E27" s="9" t="s">
        <x:v>94</x:v>
      </x:c>
      <x:c r="F27" s="20">
        <x:v>10</x:v>
      </x:c>
      <x:c r="G27" s="9"/>
      <x:c r="H27" s="9" t="s">
        <x:v>41</x:v>
      </x:c>
      <x:c r="I27" s="9" t="s">
        <x:v>192</x:v>
      </x:c>
      <x:c r="J27" s="9"/>
      <x:c r="K27" s="9"/>
    </x:row>
    <x:row r="28" s="5" customFormat="1" ht="32" customHeight="1">
      <x:c r="A28" s="21" t="s">
        <x:v>193</x:v>
      </x:c>
      <x:c r="B28" s="11" t="s">
        <x:v>14</x:v>
      </x:c>
      <x:c r="C28" s="11" t="s">
        <x:v>72</x:v>
      </x:c>
      <x:c r="D28" s="11" t="s">
        <x:v>194</x:v>
      </x:c>
      <x:c r="E28" s="11" t="s">
        <x:v>111</x:v>
      </x:c>
      <x:c r="F28" s="22">
        <x:v>5</x:v>
      </x:c>
      <x:c r="G28" s="11"/>
      <x:c r="H28" s="11" t="s">
        <x:v>41</x:v>
      </x:c>
      <x:c r="I28" s="11" t="s">
        <x:v>195</x:v>
      </x:c>
      <x:c r="J28" s="11"/>
      <x:c r="K28" s="11"/>
    </x:row>
    <x:row r="29" s="5" customFormat="1" ht="32" customHeight="1">
      <x:c r="A29" s="19" t="s">
        <x:v>196</x:v>
      </x:c>
      <x:c r="B29" s="9" t="s">
        <x:v>14</x:v>
      </x:c>
      <x:c r="C29" s="9" t="s">
        <x:v>72</x:v>
      </x:c>
      <x:c r="D29" s="9" t="s">
        <x:v>197</x:v>
      </x:c>
      <x:c r="E29" s="9" t="s">
        <x:v>185</x:v>
      </x:c>
      <x:c r="F29" s="20">
        <x:v>4</x:v>
      </x:c>
      <x:c r="G29" s="9"/>
      <x:c r="H29" s="9" t="s">
        <x:v>41</x:v>
      </x:c>
      <x:c r="I29" s="9" t="s">
        <x:v>198</x:v>
      </x:c>
      <x:c r="J29" s="9"/>
      <x:c r="K29" s="9"/>
    </x:row>
    <x:row r="30" s="5" customFormat="1" ht="32" customHeight="1">
      <x:c r="A30" s="21" t="s">
        <x:v>199</x:v>
      </x:c>
      <x:c r="B30" s="11" t="s">
        <x:v>14</x:v>
      </x:c>
      <x:c r="C30" s="11" t="s">
        <x:v>72</x:v>
      </x:c>
      <x:c r="D30" s="11" t="s">
        <x:v>200</x:v>
      </x:c>
      <x:c r="E30" s="11" t="s">
        <x:v>111</x:v>
      </x:c>
      <x:c r="F30" s="22">
        <x:v>5</x:v>
      </x:c>
      <x:c r="G30" s="11"/>
      <x:c r="H30" s="11" t="s">
        <x:v>41</x:v>
      </x:c>
      <x:c r="I30" s="11" t="s">
        <x:v>201</x:v>
      </x:c>
      <x:c r="J30" s="11"/>
      <x:c r="K30" s="11"/>
    </x:row>
    <x:row r="31" s="5" customFormat="1" ht="32" customHeight="1">
      <x:c r="A31" s="19" t="s">
        <x:v>202</x:v>
      </x:c>
      <x:c r="B31" s="9" t="s">
        <x:v>18</x:v>
      </x:c>
      <x:c r="C31" s="9" t="s">
        <x:v>77</x:v>
      </x:c>
      <x:c r="D31" s="9" t="s">
        <x:v>203</x:v>
      </x:c>
      <x:c r="E31" s="9" t="s">
        <x:v>94</x:v>
      </x:c>
      <x:c r="F31" s="20">
        <x:v>6</x:v>
      </x:c>
      <x:c r="G31" s="9"/>
      <x:c r="H31" s="9" t="s">
        <x:v>43</x:v>
      </x:c>
      <x:c r="I31" s="9" t="s">
        <x:v>204</x:v>
      </x:c>
      <x:c r="J31" s="9" t="s">
        <x:v>205</x:v>
      </x:c>
      <x:c r="K31" s="9" t="s">
        <x:v>206</x:v>
      </x:c>
    </x:row>
    <x:row r="32" s="5" customFormat="1" ht="32" customHeight="1">
      <x:c r="A32" s="21" t="s">
        <x:v>207</x:v>
      </x:c>
      <x:c r="B32" s="11" t="s">
        <x:v>18</x:v>
      </x:c>
      <x:c r="C32" s="11" t="s">
        <x:v>77</x:v>
      </x:c>
      <x:c r="D32" s="11" t="str">
        <x:v>Live Activity UI — full values, progress, metric type and all presentations</x:v>
      </x:c>
      <x:c r="E32" s="11" t="str">
        <x:v>Native</x:v>
      </x:c>
      <x:c r="F32" s="22" t="n">
        <x:v>8</x:v>
      </x:c>
      <x:c r="G32" s="11"/>
      <x:c r="H32" s="11" t="str">
        <x:v>In progress</x:v>
      </x:c>
      <x:c r="I32" s="11" t="str">
        <x:v>Compact Dynamic Island shows metric identity, circular progress and the full current value; all presentations pass real-device QA</x:v>
      </x:c>
      <x:c r="J32" s="11" t="str">
        <x:v>ios/HonouredShared/HonouredLiveActivity.swift, ios/HonouredWidgets/ContractLiveActivityViews.swift · native commit 12c0270</x:v>
      </x:c>
      <x:c r="K32" s="11" t="str">
        <x:v>Updated Sep 25: step counts use full localized values such as 5,793 instead of 5.7k. Compact Health cards show a metric-specific symbol inside a circular progress ring plus the full current value; accessibility text includes current value and percent. Covers steps, distance, active/basal energy, heart rate, exercise, sleep and time. Simulator render tests pass; Lock Screen and expanded states still need real-device acceptance.</x:v>
      </x:c>
    </x:row>
    <x:row r="33" s="5" customFormat="1" ht="32" customHeight="1">
      <x:c r="A33" s="19" t="s">
        <x:v>208</x:v>
      </x:c>
      <x:c r="B33" s="9" t="s">
        <x:v>18</x:v>
      </x:c>
      <x:c r="C33" s="9" t="s">
        <x:v>77</x:v>
      </x:c>
      <x:c r="D33" s="9" t="s">
        <x:v>209</x:v>
      </x:c>
      <x:c r="E33" s="9" t="s">
        <x:v>94</x:v>
      </x:c>
      <x:c r="F33" s="20">
        <x:v>6</x:v>
      </x:c>
      <x:c r="G33" s="9"/>
      <x:c r="H33" s="9" t="s">
        <x:v>43</x:v>
      </x:c>
      <x:c r="I33" s="9" t="s">
        <x:v>210</x:v>
      </x:c>
      <x:c r="J33" s="9" t="s">
        <x:v>211</x:v>
      </x:c>
      <x:c r="K33" s="9" t="s">
        <x:v>212</x:v>
      </x:c>
    </x:row>
    <x:row r="34" s="5" customFormat="1" ht="32" customHeight="1">
      <x:c r="A34" s="21" t="s">
        <x:v>213</x:v>
      </x:c>
      <x:c r="B34" s="11" t="s">
        <x:v>18</x:v>
      </x:c>
      <x:c r="C34" s="11" t="s">
        <x:v>81</x:v>
      </x:c>
      <x:c r="D34" s="11" t="str">
        <x:v>Flash for alerts setup guidance</x:v>
      </x:c>
      <x:c r="E34" s="11" t="str">
        <x:v>Web / Native bridge</x:v>
      </x:c>
      <x:c r="F34" s="22" t="n">
        <x:v>4</x:v>
      </x:c>
      <x:c r="G34" s="11"/>
      <x:c r="H34" s="11" t="str">
        <x:v>Done</x:v>
      </x:c>
      <x:c r="I34" s="11" t="str">
        <x:v>iPhone users can find the exact system Flash for Alerts path from Honoured Settings without private APIs</x:v>
      </x:c>
      <x:c r="J34" s="11" t="str">
        <x:v>Lovable Settings.tsx + tests/flash-for-alerts.test.ts · published commit 0075b4b</x:v>
      </x:c>
      <x:c r="K34" s="11" t="str">
        <x:v>Requirement revised Sep 25 because ActivityKit cannot guarantee an exact three-blink animation. The iOS-only Settings row opens an in-app guide for Settings → Accessibility → Audio &amp; Visual → Flash for Alerts, explains LED Flash / Screen / Both and Flash in Silent Mode, and offers Open Settings. Honoured cannot enable or read this system-wide switch. No App-Prefs or private URL scheme is used; 3/3 focused tests, typecheck and production build pass.</x:v>
      </x:c>
    </x:row>
    <x:row r="35" s="5" customFormat="1" ht="32" customHeight="1">
      <x:c r="A35" s="19" t="s">
        <x:v>214</x:v>
      </x:c>
      <x:c r="B35" s="9" t="s">
        <x:v>18</x:v>
      </x:c>
      <x:c r="C35" s="9" t="s">
        <x:v>81</x:v>
      </x:c>
      <x:c r="D35" s="9" t="str">
        <x:v>Hook Live Activity to HealthKit goal completion and immediate progress refresh</x:v>
      </x:c>
      <x:c r="E35" s="9" t="str">
        <x:v>Native</x:v>
      </x:c>
      <x:c r="F35" s="20" t="n">
        <x:v>4</x:v>
      </x:c>
      <x:c r="G35" s="9"/>
      <x:c r="H35" s="9" t="str">
        <x:v>Done</x:v>
      </x:c>
      <x:c r="I35" s="9" t="str">
        <x:v>HealthKit progress refreshes the card on an observer wake and reaching every mapped goal completes it</x:v>
      </x:c>
      <x:c r="J35" s="9" t="str">
        <x:v>ios/Honoured/Health/, LiveActivities/ · native commit 12c0270 · 94/94 tests</x:v>
      </x:c>
      <x:c r="K35" s="9" t="str">
        <x:v>Updated Sep 25: background observer wakes refresh the Live Activity before the full upload path and reuse the prefetched totals. Every tracked card shows current/target progress and reaches the honoured final state when all mapped Health goals are complete. Exact wake timing and locked-device behavior still require real-device QA.</x:v>
      </x:c>
    </x:row>
    <x:row r="36" s="5" customFormat="1" ht="32" customHeight="1">
      <x:c r="A36" s="21" t="s">
        <x:v>215</x:v>
      </x:c>
      <x:c r="B36" s="11" t="s">
        <x:v>18</x:v>
      </x:c>
      <x:c r="C36" s="11" t="s">
        <x:v>81</x:v>
      </x:c>
      <x:c r="D36" s="11" t="s">
        <x:v>216</x:v>
      </x:c>
      <x:c r="E36" s="11" t="s">
        <x:v>94</x:v>
      </x:c>
      <x:c r="F36" s="22">
        <x:v>8</x:v>
      </x:c>
      <x:c r="G36" s="11"/>
      <x:c r="H36" s="11" t="s">
        <x:v>41</x:v>
      </x:c>
      <x:c r="I36" s="11" t="s">
        <x:v>217</x:v>
      </x:c>
      <x:c r="J36" s="11"/>
      <x:c r="K36" s="11"/>
    </x:row>
    <x:row r="37" s="5" customFormat="1" ht="32" customHeight="1">
      <x:c r="A37" s="19" t="s">
        <x:v>218</x:v>
      </x:c>
      <x:c r="B37" s="9" t="s">
        <x:v>18</x:v>
      </x:c>
      <x:c r="C37" s="9" t="s">
        <x:v>81</x:v>
      </x:c>
      <x:c r="D37" s="9" t="s">
        <x:v>219</x:v>
      </x:c>
      <x:c r="E37" s="9" t="s">
        <x:v>185</x:v>
      </x:c>
      <x:c r="F37" s="20">
        <x:v>4</x:v>
      </x:c>
      <x:c r="G37" s="9"/>
      <x:c r="H37" s="9" t="s">
        <x:v>41</x:v>
      </x:c>
      <x:c r="I37" s="9" t="s">
        <x:v>220</x:v>
      </x:c>
      <x:c r="J37" s="9"/>
      <x:c r="K37" s="9"/>
    </x:row>
    <x:row r="38" ht="17.25" customHeight="1">
      <x:c r="A38" s="23"/>
      <x:c r="B38" s="23"/>
      <x:c r="C38" s="23"/>
      <x:c r="D38" s="24" t="s">
        <x:v>21</x:v>
      </x:c>
      <x:c r="E38" s="23"/>
      <x:c r="F38" s="25" t="n">
        <x:f>SUM(F5:F37)</x:f>
        <x:v>183</x:v>
      </x:c>
      <x:c r="G38" s="26" t="n">
        <x:f>SUM(G5:G37)</x:f>
        <x:v>0</x:v>
      </x:c>
      <x:c r="H38" s="23"/>
      <x:c r="I38" s="23"/>
      <x:c r="J38" s="23"/>
      <x:c r="K38" s="23"/>
    </x:row>
  </x:sheetData>
  <x:pageMargins left="0.7" right="0.7" top="0.75" bottom="0.75" header="0.3" footer="0.3"/>
</x:worksheet>
</file>

<file path=xl/worksheets/sheet4.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4.005000114440918" style="17" customWidth="1"/>
    <x:col min="2" max="2" width="12.005000114440918" style="13" customWidth="1"/>
    <x:col min="3" max="3" width="12.005000114440918" style="13" customWidth="1"/>
    <x:col min="4" max="4" width="44.005001068115234" style="13" customWidth="1"/>
    <x:col min="5" max="5" width="30.0049991607666" style="13" customWidth="1"/>
    <x:col min="6" max="6" width="34.005001068115234" style="13" customWidth="1"/>
  </x:cols>
  <x:sheetData>
    <x:row r="1" ht="17.25" customHeight="1">
      <x:c r="A1" s="14" t="s">
        <x:v>221</x:v>
      </x:c>
      <x:c r="B1" s="2"/>
      <x:c r="C1" s="2"/>
      <x:c r="D1" s="2"/>
      <x:c r="E1" s="2"/>
      <x:c r="F1" s="2"/>
    </x:row>
    <x:row r="2" ht="17.25" customHeight="1">
      <x:c r="A2" s="15" t="s">
        <x:v>222</x:v>
      </x:c>
      <x:c r="B2" s="2"/>
      <x:c r="C2" s="2"/>
      <x:c r="D2" s="2"/>
      <x:c r="E2" s="2"/>
      <x:c r="F2" s="2"/>
    </x:row>
    <x:row r="3" ht="17.25" customHeight="1">
      <x:c r="A3" s="16"/>
      <x:c r="B3" s="2"/>
      <x:c r="C3" s="2"/>
      <x:c r="D3" s="2"/>
      <x:c r="E3" s="2"/>
      <x:c r="F3" s="2"/>
    </x:row>
    <x:row r="4" s="5" customFormat="1" ht="28" customHeight="1">
      <x:c r="A4" s="7" t="s">
        <x:v>223</x:v>
      </x:c>
      <x:c r="B4" s="7" t="s">
        <x:v>48</x:v>
      </x:c>
      <x:c r="C4" s="7" t="s">
        <x:v>224</x:v>
      </x:c>
      <x:c r="D4" s="7" t="s">
        <x:v>225</x:v>
      </x:c>
      <x:c r="E4" s="7" t="s">
        <x:v>226</x:v>
      </x:c>
      <x:c r="F4" s="7" t="s">
        <x:v>227</x:v>
      </x:c>
    </x:row>
    <x:row r="5" s="5" customFormat="1" ht="330" customHeight="1">
      <x:c r="A5" s="9" t="s">
        <x:v>228</x:v>
      </x:c>
      <x:c r="B5" s="9" t="s">
        <x:v>61</x:v>
      </x:c>
      <x:c r="C5" s="9" t="s">
        <x:v>120</x:v>
      </x:c>
      <x:c r="D5" s="9" t="s">
        <x:v>229</x:v>
      </x:c>
      <x:c r="E5" s="9"/>
      <x:c r="F5" s="9"/>
    </x:row>
    <x:row r="6" s="5" customFormat="1" ht="330" customHeight="1">
      <x:c r="A6" s="9" t="s">
        <x:v>230</x:v>
      </x:c>
      <x:c r="B6" s="9" t="s">
        <x:v>68</x:v>
      </x:c>
      <x:c r="C6" s="9" t="s">
        <x:v>161</x:v>
      </x:c>
      <x:c r="D6" s="9" t="s">
        <x:v>231</x:v>
      </x:c>
      <x:c r="E6" s="9"/>
      <x:c r="F6" s="9" t="s">
        <x:v>232</x:v>
      </x:c>
    </x:row>
    <x:row r="7" s="5" customFormat="1" ht="330" customHeight="1">
      <x:c r="A7" s="9" t="s">
        <x:v>230</x:v>
      </x:c>
      <x:c r="B7" s="9" t="s">
        <x:v>68</x:v>
      </x:c>
      <x:c r="C7" s="9" t="s">
        <x:v>162</x:v>
      </x:c>
      <x:c r="D7" s="9" t="s">
        <x:v>233</x:v>
      </x:c>
      <x:c r="E7" s="9"/>
      <x:c r="F7" s="9" t="s">
        <x:v>232</x:v>
      </x:c>
    </x:row>
    <x:row r="8" s="5" customFormat="1" ht="330" customHeight="1">
      <x:c r="A8" s="9" t="s">
        <x:v>230</x:v>
      </x:c>
      <x:c r="B8" s="9" t="s">
        <x:v>61</x:v>
      </x:c>
      <x:c r="C8" s="9" t="s">
        <x:v>125</x:v>
      </x:c>
      <x:c r="D8" s="9" t="s">
        <x:v>234</x:v>
      </x:c>
      <x:c r="E8" s="9"/>
      <x:c r="F8" s="9" t="s">
        <x:v>232</x:v>
      </x:c>
    </x:row>
    <x:row r="9" s="5" customFormat="1" ht="330" customHeight="1">
      <x:c r="A9" s="9" t="s">
        <x:v>235</x:v>
      </x:c>
      <x:c r="B9" s="9" t="s">
        <x:v>68</x:v>
      </x:c>
      <x:c r="C9" s="9" t="s">
        <x:v>178</x:v>
      </x:c>
      <x:c r="D9" s="9" t="s">
        <x:v>236</x:v>
      </x:c>
      <x:c r="E9" s="9"/>
      <x:c r="F9" s="9" t="s">
        <x:v>232</x:v>
      </x:c>
    </x:row>
    <x:row r="10" s="5" customFormat="1" ht="120" customHeight="1">
      <x:c r="A10" s="11" t="str">
        <x:v>Sep 25</x:v>
      </x:c>
      <x:c r="B10" s="11" t="str">
        <x:v>Week 4</x:v>
      </x:c>
      <x:c r="C10" s="11" t="str">
        <x:v>N-24</x:v>
      </x:c>
      <x:c r="D10" s="11" t="str">
        <x:v>Dynamic Island compact Health UI: full current value, circular percent progress and metric-specific icon; all Health metric presentations covered by render tests.</x:v>
      </x:c>
      <x:c r="E10" s="11"/>
      <x:c r="F10" s="11" t="str">
        <x:v>native commit 12c0270; 94/94 iOS tests</x:v>
      </x:c>
    </x:row>
    <x:row r="11" s="5" customFormat="1" ht="120" customHeight="1">
      <x:c r="A11" s="9" t="str">
        <x:v>Sep 25</x:v>
      </x:c>
      <x:c r="B11" s="9" t="str">
        <x:v>Week 2</x:v>
      </x:c>
      <x:c r="C11" s="9" t="str">
        <x:v>N-15</x:v>
      </x:c>
      <x:c r="D11" s="9" t="str">
        <x:v>Bundled notification sound contains three gong strikes; clean build bundle matches source hash and duration is 17.6 seconds.</x:v>
      </x:c>
      <x:c r="E11" s="9"/>
      <x:c r="F11" s="9" t="str">
        <x:v>ios/Honoured/gong.caf; docs/audio-assets.md</x:v>
      </x:c>
    </x:row>
    <x:row r="12" s="5" customFormat="1" ht="120" customHeight="1">
      <x:c r="A12" s="11" t="str">
        <x:v>Sep 25</x:v>
      </x:c>
      <x:c r="B12" s="11" t="str">
        <x:v>Week 2</x:v>
      </x:c>
      <x:c r="C12" s="11" t="str">
        <x:v>N-11</x:v>
      </x:c>
      <x:c r="D12" s="11" t="str">
        <x:v>Published iPhone notification Settings flow: Enable, On and Open Settings states, with completion sound defaulting on.</x:v>
      </x:c>
      <x:c r="E12" s="11"/>
      <x:c r="F12" s="11" t="str">
        <x:v>Lovable commit 43173dad</x:v>
      </x:c>
    </x:row>
    <x:row r="13" s="5" customFormat="1" ht="120" customHeight="1">
      <x:c r="A13" s="9" t="str">
        <x:v>Sep 25</x:v>
      </x:c>
      <x:c r="B13" s="9" t="str">
        <x:v>Week 5</x:v>
      </x:c>
      <x:c r="C13" s="9" t="str">
        <x:v>N-26</x:v>
      </x:c>
      <x:c r="D13" s="9" t="str">
        <x:v>Published Flash for alerts setup sheet with the exact Accessibility path and App Store-safe Settings navigation.</x:v>
      </x:c>
      <x:c r="E13" s="9"/>
      <x:c r="F13" s="9" t="str">
        <x:v>Lovable commit 0075b4b</x:v>
      </x:c>
    </x:row>
    <x:row r="14" s="5" customFormat="1" ht="120" customHeight="1">
      <x:c r="A14" s="11"/>
      <x:c r="B14" s="11"/>
      <x:c r="C14" s="11"/>
      <x:c r="D14" s="11"/>
      <x:c r="E14" s="11"/>
      <x:c r="F14" s="11"/>
    </x:row>
    <x:row r="15" s="5" customFormat="1" ht="120" customHeight="1">
      <x:c r="A15" s="9"/>
      <x:c r="B15" s="9"/>
      <x:c r="C15" s="9"/>
      <x:c r="D15" s="9"/>
      <x:c r="E15" s="9"/>
      <x:c r="F15" s="9"/>
    </x:row>
    <x:row r="16" s="5" customFormat="1" ht="120" customHeight="1">
      <x:c r="A16" s="11"/>
      <x:c r="B16" s="11"/>
      <x:c r="C16" s="11"/>
      <x:c r="D16" s="11"/>
      <x:c r="E16" s="11"/>
      <x:c r="F16" s="11"/>
    </x:row>
    <x:row r="17" s="5" customFormat="1" ht="120" customHeight="1">
      <x:c r="A17" s="9"/>
      <x:c r="B17" s="9"/>
      <x:c r="C17" s="9"/>
      <x:c r="D17" s="9"/>
      <x:c r="E17" s="9"/>
      <x:c r="F17" s="9"/>
    </x:row>
    <x:row r="18" s="5" customFormat="1" ht="120" customHeight="1">
      <x:c r="A18" s="11"/>
      <x:c r="B18" s="11"/>
      <x:c r="C18" s="11"/>
      <x:c r="D18" s="11"/>
      <x:c r="E18" s="11"/>
      <x:c r="F18" s="11"/>
    </x:row>
    <x:row r="19" s="5" customFormat="1" ht="120" customHeight="1">
      <x:c r="A19" s="9"/>
      <x:c r="B19" s="9"/>
      <x:c r="C19" s="9"/>
      <x:c r="D19" s="9"/>
      <x:c r="E19" s="9"/>
      <x:c r="F19" s="9"/>
    </x:row>
    <x:row r="20" s="5" customFormat="1" ht="120" customHeight="1">
      <x:c r="A20" s="11"/>
      <x:c r="B20" s="11"/>
      <x:c r="C20" s="11"/>
      <x:c r="D20" s="11"/>
      <x:c r="E20" s="11"/>
      <x:c r="F20" s="11"/>
    </x:row>
    <x:row r="21" s="5" customFormat="1" ht="120" customHeight="1">
      <x:c r="A21" s="9"/>
      <x:c r="B21" s="9"/>
      <x:c r="C21" s="9"/>
      <x:c r="D21" s="9"/>
      <x:c r="E21" s="9"/>
      <x:c r="F21" s="9"/>
    </x:row>
    <x:row r="22" s="5" customFormat="1" ht="120" customHeight="1">
      <x:c r="A22" s="11"/>
      <x:c r="B22" s="11"/>
      <x:c r="C22" s="11"/>
      <x:c r="D22" s="11"/>
      <x:c r="E22" s="11"/>
      <x:c r="F22" s="11"/>
    </x:row>
    <x:row r="23" s="5" customFormat="1" ht="120" customHeight="1">
      <x:c r="A23" s="9"/>
      <x:c r="B23" s="9"/>
      <x:c r="C23" s="9"/>
      <x:c r="D23" s="9"/>
      <x:c r="E23" s="9"/>
      <x:c r="F23" s="9"/>
    </x:row>
    <x:row r="24" s="5" customFormat="1" ht="120" customHeight="1">
      <x:c r="A24" s="11"/>
      <x:c r="B24" s="11"/>
      <x:c r="C24" s="11"/>
      <x:c r="D24" s="11"/>
      <x:c r="E24" s="11"/>
      <x:c r="F24" s="11"/>
    </x:row>
    <x:row r="25" s="5" customFormat="1" ht="120" customHeight="1">
      <x:c r="A25" s="9"/>
      <x:c r="B25" s="9"/>
      <x:c r="C25" s="9"/>
      <x:c r="D25" s="9"/>
      <x:c r="E25" s="9"/>
      <x:c r="F25" s="9"/>
    </x:row>
    <x:row r="26" s="5" customFormat="1" ht="120" customHeight="1">
      <x:c r="A26" s="11"/>
      <x:c r="B26" s="11"/>
      <x:c r="C26" s="11"/>
      <x:c r="D26" s="11"/>
      <x:c r="E26" s="11"/>
      <x:c r="F26" s="11"/>
    </x:row>
    <x:row r="27" s="5" customFormat="1" ht="120" customHeight="1">
      <x:c r="A27" s="9"/>
      <x:c r="B27" s="9"/>
      <x:c r="C27" s="9"/>
      <x:c r="D27" s="9"/>
      <x:c r="E27" s="9"/>
      <x:c r="F27" s="9"/>
    </x:row>
    <x:row r="28" s="5" customFormat="1" ht="120" customHeight="1">
      <x:c r="A28" s="11"/>
      <x:c r="B28" s="11"/>
      <x:c r="C28" s="11"/>
      <x:c r="D28" s="11"/>
      <x:c r="E28" s="11"/>
      <x:c r="F28" s="11"/>
    </x:row>
    <x:row r="29" s="5" customFormat="1" ht="120" customHeight="1">
      <x:c r="A29" s="9"/>
      <x:c r="B29" s="9"/>
      <x:c r="C29" s="9"/>
      <x:c r="D29" s="9"/>
      <x:c r="E29" s="9"/>
      <x:c r="F29" s="9"/>
    </x:row>
    <x:row r="30" s="5" customFormat="1" ht="120" customHeight="1">
      <x:c r="A30" s="11"/>
      <x:c r="B30" s="11"/>
      <x:c r="C30" s="11"/>
      <x:c r="D30" s="11"/>
      <x:c r="E30" s="11"/>
      <x:c r="F30" s="11"/>
    </x:row>
    <x:row r="31" s="5" customFormat="1" ht="120" customHeight="1">
      <x:c r="A31" s="9"/>
      <x:c r="B31" s="9"/>
      <x:c r="C31" s="9"/>
      <x:c r="D31" s="9"/>
      <x:c r="E31" s="9"/>
      <x:c r="F31" s="9"/>
    </x:row>
    <x:row r="32" s="5" customFormat="1" ht="120" customHeight="1">
      <x:c r="A32" s="11"/>
      <x:c r="B32" s="11"/>
      <x:c r="C32" s="11"/>
      <x:c r="D32" s="11"/>
      <x:c r="E32" s="11"/>
      <x:c r="F32" s="11"/>
    </x:row>
    <x:row r="33" s="5" customFormat="1" ht="120" customHeight="1">
      <x:c r="A33" s="9"/>
      <x:c r="B33" s="9"/>
      <x:c r="C33" s="9"/>
      <x:c r="D33" s="9"/>
      <x:c r="E33" s="9"/>
      <x:c r="F33" s="9"/>
    </x:row>
    <x:row r="34" s="5" customFormat="1" ht="120" customHeight="1">
      <x:c r="A34" s="11"/>
      <x:c r="B34" s="11"/>
      <x:c r="C34" s="11"/>
      <x:c r="D34" s="11"/>
      <x:c r="E34" s="11"/>
      <x:c r="F34" s="11"/>
    </x:row>
    <x:row r="35" s="5" customFormat="1" ht="120" customHeight="1">
      <x:c r="A35" s="9"/>
      <x:c r="B35" s="9"/>
      <x:c r="C35" s="9"/>
      <x:c r="D35" s="9"/>
      <x:c r="E35" s="9"/>
      <x:c r="F35" s="9"/>
    </x:row>
  </x:sheetData>
  <x:pageMargins left="0.7" right="0.7" top="0.75" bottom="0.75" header="0.3" footer="0.3"/>
</x:worksheet>
</file>

<file path=xl/worksheets/sheet5.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6.005000114440918" style="12" customWidth="1"/>
    <x:col min="2" max="2" width="44.005001068115234" style="13" customWidth="1"/>
    <x:col min="3" max="3" width="48.005001068115234" style="13" customWidth="1"/>
    <x:col min="4" max="4" width="14.005000114440918" style="13" customWidth="1"/>
    <x:col min="5" max="5" width="16.0049991607666" style="13" customWidth="1"/>
    <x:col min="6" max="6" width="14.005000114440918" style="13" customWidth="1"/>
    <x:col min="7" max="7" width="40.005001068115234" style="13" customWidth="1"/>
  </x:cols>
  <x:sheetData>
    <x:row r="1" ht="17.25" customHeight="1">
      <x:c r="A1" s="1" t="s">
        <x:v>237</x:v>
      </x:c>
      <x:c r="B1" s="2"/>
      <x:c r="C1" s="2"/>
      <x:c r="D1" s="2"/>
      <x:c r="E1" s="2"/>
      <x:c r="F1" s="2"/>
      <x:c r="G1" s="2"/>
    </x:row>
    <x:row r="2" ht="17.25" customHeight="1">
      <x:c r="A2" s="3" t="s">
        <x:v>238</x:v>
      </x:c>
      <x:c r="B2" s="2"/>
      <x:c r="C2" s="2"/>
      <x:c r="D2" s="2"/>
      <x:c r="E2" s="2"/>
      <x:c r="F2" s="2"/>
      <x:c r="G2" s="2"/>
    </x:row>
    <x:row r="3" ht="17.25" customHeight="1">
      <x:c r="A3" s="4"/>
      <x:c r="B3" s="2"/>
      <x:c r="C3" s="2"/>
      <x:c r="D3" s="2"/>
      <x:c r="E3" s="2"/>
      <x:c r="F3" s="2"/>
      <x:c r="G3" s="2"/>
    </x:row>
    <x:row r="4" s="5" customFormat="1" ht="28" customHeight="1">
      <x:c r="A4" s="6" t="s">
        <x:v>239</x:v>
      </x:c>
      <x:c r="B4" s="7" t="s">
        <x:v>240</x:v>
      </x:c>
      <x:c r="C4" s="7" t="s">
        <x:v>241</x:v>
      </x:c>
      <x:c r="D4" s="7" t="s">
        <x:v>242</x:v>
      </x:c>
      <x:c r="E4" s="7" t="s">
        <x:v>243</x:v>
      </x:c>
      <x:c r="F4" s="7" t="s">
        <x:v>51</x:v>
      </x:c>
      <x:c r="G4" s="7" t="s">
        <x:v>244</x:v>
      </x:c>
    </x:row>
    <x:row r="5" s="5" customFormat="1" ht="46" customHeight="1">
      <x:c r="A5" s="8">
        <x:v>1</x:v>
      </x:c>
      <x:c r="B5" s="9" t="s">
        <x:v>245</x:v>
      </x:c>
      <x:c r="C5" s="9" t="s">
        <x:v>246</x:v>
      </x:c>
      <x:c r="D5" s="9" t="s">
        <x:v>247</x:v>
      </x:c>
      <x:c r="E5" s="9" t="s">
        <x:v>61</x:v>
      </x:c>
      <x:c r="F5" s="9" t="s">
        <x:v>248</x:v>
      </x:c>
      <x:c r="G5" s="9"/>
    </x:row>
    <x:row r="6" s="5" customFormat="1" ht="46" customHeight="1">
      <x:c r="A6" s="10">
        <x:v>2</x:v>
      </x:c>
      <x:c r="B6" s="11" t="s">
        <x:v>249</x:v>
      </x:c>
      <x:c r="C6" s="11" t="s">
        <x:v>250</x:v>
      </x:c>
      <x:c r="D6" s="11" t="s">
        <x:v>247</x:v>
      </x:c>
      <x:c r="E6" s="11" t="s">
        <x:v>77</x:v>
      </x:c>
      <x:c r="F6" s="11" t="s">
        <x:v>251</x:v>
      </x:c>
      <x:c r="G6" s="11" t="s">
        <x:v>252</x:v>
      </x:c>
    </x:row>
    <x:row r="7" s="5" customFormat="1" ht="46" customHeight="1">
      <x:c r="A7" s="8">
        <x:v>3</x:v>
      </x:c>
      <x:c r="B7" s="9" t="s">
        <x:v>253</x:v>
      </x:c>
      <x:c r="C7" s="9" t="s">
        <x:v>254</x:v>
      </x:c>
      <x:c r="D7" s="9" t="s">
        <x:v>247</x:v>
      </x:c>
      <x:c r="E7" s="9" t="s">
        <x:v>68</x:v>
      </x:c>
      <x:c r="F7" s="9" t="s">
        <x:v>248</x:v>
      </x:c>
      <x:c r="G7" s="9"/>
    </x:row>
    <x:row r="8" s="5" customFormat="1" ht="46" customHeight="1">
      <x:c r="A8" s="10">
        <x:v>4</x:v>
      </x:c>
      <x:c r="B8" s="11" t="s">
        <x:v>255</x:v>
      </x:c>
      <x:c r="C8" s="11" t="s">
        <x:v>256</x:v>
      </x:c>
      <x:c r="D8" s="11" t="s">
        <x:v>257</x:v>
      </x:c>
      <x:c r="E8" s="11" t="s">
        <x:v>61</x:v>
      </x:c>
      <x:c r="F8" s="11" t="str">
        <x:v>Resolved</x:v>
      </x:c>
      <x:c r="G8" s="11" t="str">
        <x:v>Sep 25: the notification permission/default-sound changes and Flash for alerts guidance are published on Lovable. Native support is in commit 12c0270. The remaining release work is device acceptance and App Store/TestFlight delivery, tracked separately.</x:v>
      </x:c>
    </x:row>
    <x:row r="9" s="5" customFormat="1" ht="46" customHeight="1">
      <x:c r="A9" s="8">
        <x:v>5</x:v>
      </x:c>
      <x:c r="B9" s="9" t="s">
        <x:v>258</x:v>
      </x:c>
      <x:c r="C9" s="9" t="s">
        <x:v>259</x:v>
      </x:c>
      <x:c r="D9" s="9" t="s">
        <x:v>260</x:v>
      </x:c>
      <x:c r="E9" s="9" t="s">
        <x:v>61</x:v>
      </x:c>
      <x:c r="F9" s="9" t="s">
        <x:v>261</x:v>
      </x:c>
      <x:c r="G9" s="9" t="s">
        <x:v>262</x:v>
      </x:c>
    </x:row>
    <x:row r="10" s="5" customFormat="1" ht="46" customHeight="1">
      <x:c r="A10" s="10">
        <x:v>6</x:v>
      </x:c>
      <x:c r="B10" s="11" t="s">
        <x:v>263</x:v>
      </x:c>
      <x:c r="C10" s="11" t="s">
        <x:v>264</x:v>
      </x:c>
      <x:c r="D10" s="11" t="s">
        <x:v>265</x:v>
      </x:c>
      <x:c r="E10" s="11" t="s">
        <x:v>61</x:v>
      </x:c>
      <x:c r="F10" s="11" t="s">
        <x:v>261</x:v>
      </x:c>
      <x:c r="G10" s="11" t="s">
        <x:v>266</x:v>
      </x:c>
    </x:row>
    <x:row r="11" s="5" customFormat="1" ht="46" customHeight="1">
      <x:c r="A11" s="8">
        <x:v>7</x:v>
      </x:c>
      <x:c r="B11" s="9" t="s">
        <x:v>267</x:v>
      </x:c>
      <x:c r="C11" s="9" t="s">
        <x:v>268</x:v>
      </x:c>
      <x:c r="D11" s="9" t="s">
        <x:v>247</x:v>
      </x:c>
      <x:c r="E11" s="9" t="s">
        <x:v>68</x:v>
      </x:c>
      <x:c r="F11" s="9" t="s">
        <x:v>248</x:v>
      </x:c>
      <x:c r="G11" s="9" t="s">
        <x:v>269</x:v>
      </x:c>
    </x:row>
    <x:row r="12" s="5" customFormat="1" ht="46" customHeight="1">
      <x:c r="A12" s="8">
        <x:v>8</x:v>
      </x:c>
      <x:c r="B12" s="9" t="s">
        <x:v>270</x:v>
      </x:c>
      <x:c r="C12" s="9" t="s">
        <x:v>271</x:v>
      </x:c>
      <x:c r="D12" s="9" t="s">
        <x:v>247</x:v>
      </x:c>
      <x:c r="E12" s="9" t="s">
        <x:v>68</x:v>
      </x:c>
      <x:c r="F12" s="9" t="s">
        <x:v>248</x:v>
      </x:c>
      <x:c r="G12" s="9"/>
    </x:row>
    <x:row r="13" s="5" customFormat="1" ht="46" customHeight="1">
      <x:c r="A13" s="8">
        <x:v>9</x:v>
      </x:c>
      <x:c r="B13" s="9" t="str">
        <x:v>Gong asset and notification copy</x:v>
      </x:c>
      <x:c r="C13" s="9" t="str">
        <x:v>The app needs an App Store-safe custom sound under 30 seconds and clear timer/goal notification copy.</x:v>
      </x:c>
      <x:c r="D13" s="9" t="str">
        <x:v>Client / Dev</x:v>
      </x:c>
      <x:c r="E13" s="9" t="str">
        <x:v>Week 2</x:v>
      </x:c>
      <x:c r="F13" s="9" t="str">
        <x:v>Resolved</x:v>
      </x:c>
      <x:c r="G13" s="9" t="str">
        <x:v>Sep 25: a CC0 gong is bundled as a 17.6-second CAF containing three strikes. Completion sound defaults on and remains toggleable. Existing timer and goal notification copy is retained; clean build verified the bundled resource.</x:v>
      </x:c>
    </x:row>
    <x:row r="14" s="5" customFormat="1" ht="17.25" customHeight="1">
      <x:c r="A14" s="8">
        <x:v>10</x:v>
      </x:c>
      <x:c r="B14" s="9" t="s">
        <x:v>272</x:v>
      </x:c>
      <x:c r="C14" s="9" t="s">
        <x:v>273</x:v>
      </x:c>
      <x:c r="D14" s="9" t="s">
        <x:v>247</x:v>
      </x:c>
      <x:c r="E14" s="9" t="s">
        <x:v>68</x:v>
      </x:c>
      <x:c r="F14" s="9" t="s">
        <x:v>251</x:v>
      </x:c>
      <x:c r="G14" s="9" t="s">
        <x:v>274</x:v>
      </x:c>
    </x:row>
    <x:row r="15" s="5" customFormat="1" ht="46" customHeight="1">
      <x:c r="A15" s="8">
        <x:v>11</x:v>
      </x:c>
      <x:c r="B15" s="9" t="s">
        <x:v>275</x:v>
      </x:c>
      <x:c r="C15" s="9" t="s">
        <x:v>276</x:v>
      </x:c>
      <x:c r="D15" s="9" t="s">
        <x:v>277</x:v>
      </x:c>
      <x:c r="E15" s="9" t="s">
        <x:v>68</x:v>
      </x:c>
      <x:c r="F15" s="9" t="s">
        <x:v>248</x:v>
      </x:c>
      <x:c r="G15" s="9"/>
    </x:row>
    <x:row r="16" s="5" customFormat="1" ht="46" customHeight="1">
      <x:c r="A16" s="8">
        <x:v>12</x:v>
      </x:c>
      <x:c r="B16" s="9" t="s">
        <x:v>278</x:v>
      </x:c>
      <x:c r="C16" s="9" t="s">
        <x:v>279</x:v>
      </x:c>
      <x:c r="D16" s="9" t="s">
        <x:v>247</x:v>
      </x:c>
      <x:c r="E16" s="9" t="s">
        <x:v>81</x:v>
      </x:c>
      <x:c r="F16" s="9" t="s">
        <x:v>248</x:v>
      </x:c>
      <x:c r="G16" s="9"/>
    </x:row>
    <x:row r="17" s="5" customFormat="1" ht="46" customHeight="1">
      <x:c r="A17" s="8">
        <x:v>13</x:v>
      </x:c>
      <x:c r="B17" s="9" t="s">
        <x:v>280</x:v>
      </x:c>
      <x:c r="C17" s="9" t="s">
        <x:v>281</x:v>
      </x:c>
      <x:c r="D17" s="9" t="s">
        <x:v>247</x:v>
      </x:c>
      <x:c r="E17" s="9" t="s">
        <x:v>81</x:v>
      </x:c>
      <x:c r="F17" s="9" t="s">
        <x:v>248</x:v>
      </x:c>
      <x:c r="G17" s="9"/>
    </x:row>
  </x:sheetData>
  <x:pageMargins left="0.7" right="0.7" top="0.75" bottom="0.75" header="0.3" footer="0.3"/>
</x:worksheet>
</file>