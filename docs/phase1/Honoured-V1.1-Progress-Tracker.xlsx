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Weekly Progress" sheetId="2" state="visible" r:id="rId2"/>
    <sheet xmlns:r="http://schemas.openxmlformats.org/officeDocument/2006/relationships" name="V1.2 Tasks" sheetId="3" state="visible" r:id="rId3"/>
    <sheet xmlns:r="http://schemas.openxmlformats.org/officeDocument/2006/relationships" name="V1.1 Tasks" sheetId="4" state="visible" r:id="rId4"/>
    <sheet xmlns:r="http://schemas.openxmlformats.org/officeDocument/2006/relationships" name="Open Items" sheetId="5" state="visible" r:id="rId5"/>
    <sheet xmlns:r="http://schemas.openxmlformats.org/officeDocument/2006/relationships" name="Screenshots" sheetId="6" state="visible" r:id="rId6"/>
  </sheets>
  <definedNames/>
  <calcPr calcId="191029" fullCalcOnLoad="1"/>
</workbook>
</file>

<file path=xl/styles.xml><?xml version="1.0" encoding="utf-8"?>
<styleSheet xmlns="http://schemas.openxmlformats.org/spreadsheetml/2006/main">
  <numFmts count="1">
    <numFmt numFmtId="164" formatCode="#,##0%"/>
  </numFmts>
  <fonts count="14">
    <font>
      <name val="Calibri"/>
      <color theme="1"/>
      <sz val="11"/>
    </font>
    <font>
      <name val="Calibri"/>
      <color rgb="FF1F3A5F"/>
      <sz val="14"/>
    </font>
    <font>
      <name val="Calibri"/>
      <color rgb="FF6B7684"/>
      <sz val="10"/>
    </font>
    <font>
      <name val="Calibri"/>
      <color rgb="FFFFFFFF"/>
      <sz val="10"/>
    </font>
    <font>
      <name val="Calibri"/>
      <color theme="1"/>
      <sz val="11"/>
    </font>
    <font>
      <name val="Calibri"/>
      <color theme="1"/>
      <sz val="11"/>
    </font>
    <font>
      <name val="Calibri"/>
      <color theme="1"/>
      <sz val="10"/>
    </font>
    <font>
      <name val="Calibri"/>
      <color rgb="FF1F3A5F"/>
      <sz val="16"/>
    </font>
    <font>
      <name val="Calibri"/>
      <color rgb="FF1F3A5F"/>
      <sz val="11"/>
    </font>
    <font>
      <name val="Calibri"/>
      <color rgb="FF000000"/>
      <sz val="10"/>
    </font>
    <font>
      <name val="Calibri"/>
      <color rgb="FF9C5700"/>
      <sz val="10"/>
    </font>
    <font>
      <name val="Calibri"/>
      <color rgb="FF006100"/>
      <sz val="10"/>
    </font>
    <font>
      <name val="Calibri"/>
      <color rgb="FF9C0006"/>
      <sz val="10"/>
    </font>
    <font>
      <name val="Calibri"/>
      <color rgb="FF5A5A5A"/>
      <sz val="10"/>
    </font>
  </fonts>
  <fills count="10">
    <fill>
      <patternFill/>
    </fill>
    <fill>
      <patternFill patternType="gray125"/>
    </fill>
    <fill>
      <patternFill patternType="solid">
        <fgColor rgb="FF1F3A5F"/>
      </patternFill>
    </fill>
    <fill>
      <patternFill patternType="solid">
        <fgColor rgb="FFF5F7FA"/>
      </patternFill>
    </fill>
    <fill>
      <patternFill patternType="solid">
        <fgColor rgb="FFE8EDF3"/>
      </patternFill>
    </fill>
    <fill>
      <patternFill patternType="solid">
        <fgColor rgb="FFFFFFFF"/>
      </patternFill>
    </fill>
    <fill>
      <patternFill patternType="solid">
        <fgColor rgb="FFFFEB9C"/>
      </patternFill>
    </fill>
    <fill>
      <patternFill patternType="solid">
        <fgColor rgb="FFC6EFCE"/>
      </patternFill>
    </fill>
    <fill>
      <patternFill patternType="solid">
        <fgColor rgb="FFFFC7CE"/>
      </patternFill>
    </fill>
    <fill>
      <patternFill patternType="solid">
        <fgColor rgb="FFE4E4E4"/>
      </patternFill>
    </fill>
  </fills>
  <borders count="7">
    <border/>
    <border/>
    <border>
      <left style="thin">
        <color rgb="FFD0D7DE"/>
      </left>
      <right style="thin">
        <color rgb="FFD0D7DE"/>
      </right>
      <top style="thin">
        <color rgb="FFD0D7DE"/>
      </top>
      <bottom style="thin">
        <color rgb="FFD0D7DE"/>
      </bottom>
    </border>
    <border>
      <top style="thin">
        <color rgb="FFD0D7DE"/>
      </top>
      <bottom style="thin">
        <color rgb="FFD0D7DE"/>
      </bottom>
    </border>
    <border>
      <right style="thin">
        <color rgb="FFD0D7DE"/>
      </right>
      <top style="thin">
        <color rgb="FFD0D7DE"/>
      </top>
      <bottom style="thin">
        <color rgb="FFD0D7DE"/>
      </bottom>
    </border>
    <border>
      <top style="thin">
        <color rgb="FFD0D7DE"/>
      </top>
    </border>
    <border>
      <right style="thin">
        <color rgb="FFD0D7DE"/>
      </right>
      <top style="thin">
        <color rgb="FFD0D7DE"/>
      </top>
    </border>
  </borders>
  <cellStyleXfs count="1">
    <xf numFmtId="0" fontId="5" fillId="0" borderId="1"/>
  </cellStyleXfs>
  <cellXfs count="52">
    <xf numFmtId="0" fontId="0" fillId="0" borderId="0" pivotButton="0" quotePrefix="0" xfId="0"/>
    <xf numFmtId="3" fontId="1" fillId="0" borderId="1" applyAlignment="1" pivotButton="0" quotePrefix="0" xfId="0">
      <alignment horizontal="left"/>
    </xf>
    <xf numFmtId="0" fontId="0" fillId="0" borderId="0" applyAlignment="1" pivotButton="0" quotePrefix="0" xfId="0">
      <alignment horizontal="general" wrapText="1"/>
    </xf>
    <xf numFmtId="3" fontId="2" fillId="0" borderId="1" applyAlignment="1" pivotButton="0" quotePrefix="0" xfId="0">
      <alignment horizontal="left"/>
    </xf>
    <xf numFmtId="3" fontId="0" fillId="0" borderId="0" applyAlignment="1" pivotButton="0" quotePrefix="0" xfId="0">
      <alignment horizontal="right"/>
    </xf>
    <xf numFmtId="0" fontId="0" fillId="0" borderId="0" applyAlignment="1" pivotButton="0" quotePrefix="0" xfId="0">
      <alignment wrapText="1"/>
    </xf>
    <xf numFmtId="3" fontId="3" fillId="2" borderId="2" applyAlignment="1" pivotButton="0" quotePrefix="0" xfId="0">
      <alignment horizontal="left" wrapText="1"/>
    </xf>
    <xf numFmtId="0" fontId="3" fillId="2" borderId="2" applyAlignment="1" pivotButton="0" quotePrefix="0" xfId="0">
      <alignment horizontal="left" wrapText="1"/>
    </xf>
    <xf numFmtId="3" fontId="4" fillId="0" borderId="2" applyAlignment="1" pivotButton="0" quotePrefix="0" xfId="0">
      <alignment horizontal="right" wrapText="1"/>
    </xf>
    <xf numFmtId="0" fontId="5" fillId="0" borderId="2" applyAlignment="1" pivotButton="0" quotePrefix="0" xfId="0">
      <alignment horizontal="left" wrapText="1"/>
    </xf>
    <xf numFmtId="3" fontId="4" fillId="3" borderId="2" applyAlignment="1" pivotButton="0" quotePrefix="0" xfId="0">
      <alignment horizontal="right" wrapText="1"/>
    </xf>
    <xf numFmtId="0" fontId="5" fillId="3" borderId="2" applyAlignment="1" pivotButton="0" quotePrefix="0" xfId="0">
      <alignment horizontal="left" wrapText="1"/>
    </xf>
    <xf numFmtId="3" fontId="0" fillId="0" borderId="0" applyAlignment="1" pivotButton="0" quotePrefix="0" xfId="0">
      <alignment horizontal="right"/>
    </xf>
    <xf numFmtId="0" fontId="0" fillId="0" borderId="0" applyAlignment="1" pivotButton="0" quotePrefix="0" xfId="0">
      <alignment horizontal="general" wrapText="1"/>
    </xf>
    <xf numFmtId="0" fontId="1" fillId="0" borderId="1" applyAlignment="1" pivotButton="0" quotePrefix="0" xfId="0">
      <alignment horizontal="left"/>
    </xf>
    <xf numFmtId="0" fontId="2" fillId="0" borderId="1" applyAlignment="1" pivotButton="0" quotePrefix="0" xfId="0">
      <alignment horizontal="left"/>
    </xf>
    <xf numFmtId="0" fontId="0" fillId="0" borderId="0" applyAlignment="1" pivotButton="0" quotePrefix="0" xfId="0">
      <alignment horizontal="general"/>
    </xf>
    <xf numFmtId="0" fontId="0" fillId="0" borderId="0" applyAlignment="1" pivotButton="0" quotePrefix="0" xfId="0">
      <alignment horizontal="general"/>
    </xf>
    <xf numFmtId="3" fontId="0" fillId="0" borderId="0" applyAlignment="1" pivotButton="0" quotePrefix="0" xfId="0">
      <alignment horizontal="general"/>
    </xf>
    <xf numFmtId="0" fontId="6" fillId="0" borderId="2" applyAlignment="1" pivotButton="0" quotePrefix="0" xfId="0">
      <alignment horizontal="left" wrapText="1"/>
    </xf>
    <xf numFmtId="3" fontId="5" fillId="0" borderId="2" applyAlignment="1" pivotButton="0" quotePrefix="0" xfId="0">
      <alignment horizontal="right" wrapText="1"/>
    </xf>
    <xf numFmtId="0" fontId="6" fillId="3" borderId="2" applyAlignment="1" pivotButton="0" quotePrefix="0" xfId="0">
      <alignment horizontal="left" wrapText="1"/>
    </xf>
    <xf numFmtId="3" fontId="5" fillId="3" borderId="2" applyAlignment="1" pivotButton="0" quotePrefix="0" xfId="0">
      <alignment horizontal="right" wrapText="1"/>
    </xf>
    <xf numFmtId="0" fontId="5" fillId="4" borderId="2" applyAlignment="1" pivotButton="0" quotePrefix="0" xfId="0">
      <alignment horizontal="left"/>
    </xf>
    <xf numFmtId="0" fontId="4" fillId="4" borderId="2" applyAlignment="1" pivotButton="0" quotePrefix="0" xfId="0">
      <alignment horizontal="left"/>
    </xf>
    <xf numFmtId="3" fontId="4" fillId="4" borderId="2" applyAlignment="1" pivotButton="0" quotePrefix="0" xfId="0">
      <alignment horizontal="left"/>
    </xf>
    <xf numFmtId="0" fontId="4" fillId="4" borderId="2" applyAlignment="1" pivotButton="0" quotePrefix="0" xfId="0">
      <alignment horizontal="left"/>
    </xf>
    <xf numFmtId="3" fontId="0" fillId="0" borderId="0" applyAlignment="1" pivotButton="0" quotePrefix="0" xfId="0">
      <alignment horizontal="general"/>
    </xf>
    <xf numFmtId="0" fontId="5" fillId="0" borderId="2" applyAlignment="1" pivotButton="0" quotePrefix="0" xfId="0">
      <alignment horizontal="left" wrapText="1"/>
    </xf>
    <xf numFmtId="0" fontId="5" fillId="3" borderId="2" applyAlignment="1" pivotButton="0" quotePrefix="0" xfId="0">
      <alignment horizontal="left" wrapText="1"/>
    </xf>
    <xf numFmtId="0" fontId="7" fillId="0" borderId="1" applyAlignment="1" pivotButton="0" quotePrefix="0" xfId="0">
      <alignment horizontal="left"/>
    </xf>
    <xf numFmtId="0" fontId="8" fillId="0" borderId="1" applyAlignment="1" pivotButton="0" quotePrefix="0" xfId="0">
      <alignment horizontal="left"/>
    </xf>
    <xf numFmtId="0" fontId="4" fillId="0" borderId="2" applyAlignment="1" pivotButton="0" quotePrefix="0" xfId="0">
      <alignment horizontal="left"/>
    </xf>
    <xf numFmtId="0" fontId="5" fillId="0" borderId="2" applyAlignment="1" pivotButton="0" quotePrefix="0" xfId="0">
      <alignment horizontal="left"/>
    </xf>
    <xf numFmtId="0" fontId="5" fillId="0" borderId="2" applyAlignment="1" pivotButton="0" quotePrefix="0" xfId="0">
      <alignment horizontal="left"/>
    </xf>
    <xf numFmtId="164" fontId="5" fillId="0" borderId="2" applyAlignment="1" pivotButton="0" quotePrefix="0" xfId="0">
      <alignment horizontal="right"/>
    </xf>
    <xf numFmtId="164" fontId="4" fillId="4" borderId="2" applyAlignment="1" pivotButton="0" quotePrefix="0" xfId="0">
      <alignment horizontal="right"/>
    </xf>
    <xf numFmtId="0" fontId="5" fillId="0" borderId="3" applyAlignment="1" pivotButton="0" quotePrefix="0" xfId="0">
      <alignment horizontal="left"/>
    </xf>
    <xf numFmtId="0" fontId="5" fillId="0" borderId="4" applyAlignment="1" pivotButton="0" quotePrefix="0" xfId="0">
      <alignment horizontal="left"/>
    </xf>
    <xf numFmtId="0" fontId="6" fillId="0" borderId="2" applyAlignment="1" pivotButton="0" quotePrefix="0" xfId="0">
      <alignment horizontal="left"/>
    </xf>
    <xf numFmtId="0" fontId="9" fillId="5" borderId="2" applyAlignment="1" pivotButton="0" quotePrefix="0" xfId="0">
      <alignment horizontal="left"/>
    </xf>
    <xf numFmtId="0" fontId="10" fillId="6" borderId="2" applyAlignment="1" pivotButton="0" quotePrefix="0" xfId="0">
      <alignment horizontal="left"/>
    </xf>
    <xf numFmtId="0" fontId="11" fillId="7" borderId="2" applyAlignment="1" pivotButton="0" quotePrefix="0" xfId="0">
      <alignment horizontal="left"/>
    </xf>
    <xf numFmtId="0" fontId="12" fillId="8" borderId="2" applyAlignment="1" pivotButton="0" quotePrefix="0" xfId="0">
      <alignment horizontal="left"/>
    </xf>
    <xf numFmtId="0" fontId="13" fillId="9" borderId="2" applyAlignment="1" pivotButton="0" quotePrefix="0" xfId="0">
      <alignment horizontal="left"/>
    </xf>
    <xf numFmtId="0" fontId="2" fillId="0" borderId="1" applyAlignment="1" pivotButton="0" quotePrefix="0" xfId="0">
      <alignment horizontal="left" vertical="top" wrapText="1"/>
    </xf>
    <xf numFmtId="0" fontId="0" fillId="0" borderId="1" pivotButton="0" quotePrefix="0" xfId="0"/>
    <xf numFmtId="0" fontId="5" fillId="0" borderId="2" applyAlignment="1" pivotButton="0" quotePrefix="0" xfId="0">
      <alignment horizontal="left" vertical="top" wrapText="1"/>
    </xf>
    <xf numFmtId="0" fontId="0" fillId="0" borderId="3" pivotButton="0" quotePrefix="0" xfId="0"/>
    <xf numFmtId="0" fontId="0" fillId="0" borderId="4" pivotButton="0" quotePrefix="0" xfId="0"/>
    <xf numFmtId="0" fontId="4" fillId="0" borderId="2" applyAlignment="1" pivotButton="0" quotePrefix="0" xfId="0">
      <alignment horizontal="left" vertical="top" wrapText="1"/>
    </xf>
    <xf numFmtId="0" fontId="6" fillId="0" borderId="2" applyAlignment="1" pivotButton="0" quotePrefix="0" xfId="0">
      <alignment horizontal="left" vertical="top" wrapText="1"/>
    </xf>
  </cellXfs>
  <cellStyles count="1">
    <cellStyle name="Normal" xfId="0"/>
  </cellStyles>
  <dxfs count="4">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5A5A5A"/>
      </font>
      <fill>
        <patternFill patternType="solid">
          <fgColor rgb="FFE4E4E4"/>
          <bgColor rgb="FFE4E4E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16.0049991607666" customWidth="1" min="1" max="1"/>
    <col width="18.0049991607666" customWidth="1" min="2" max="2"/>
    <col width="12.00500011444092" customWidth="1" min="3" max="3"/>
    <col width="14.00500011444092" customWidth="1" min="4" max="4"/>
    <col width="14.00500011444092" customWidth="1" min="5" max="5"/>
    <col width="12.00500011444092" customWidth="1" min="6" max="6"/>
    <col width="44.00500106811523" customWidth="1" min="7" max="7"/>
  </cols>
  <sheetData>
    <row r="1">
      <c r="A1" s="30" t="inlineStr">
        <is>
          <t>Honoured — Native iOS Progress Tracker (V1.1 + V1.2)</t>
        </is>
      </c>
    </row>
    <row r="2" ht="30" customHeight="1">
      <c r="A2" s="45" t="inlineStr">
        <is>
          <t>Progress, task status and open questions for the native iOS app and the web and database work it depends on. Last updated Oct 11; every status was checked against the code, the published web app and the live database.</t>
        </is>
      </c>
      <c r="B2" s="46" t="n"/>
      <c r="C2" s="46" t="n"/>
      <c r="D2" s="46" t="n"/>
      <c r="E2" s="46" t="n"/>
      <c r="F2" s="46" t="n"/>
      <c r="G2" s="46" t="n"/>
    </row>
    <row r="3">
      <c r="A3" s="15" t="inlineStr">
        <is>
          <t>Scope: the iOS app, plus the Lovable web app and Supabase changes each milestone needs. Android is out of scope (one Android fix is listed under extra work).</t>
        </is>
      </c>
    </row>
    <row r="5">
      <c r="A5" s="31" t="inlineStr">
        <is>
          <t>WHERE THINGS STAND — Oct 11</t>
        </is>
      </c>
    </row>
    <row r="6" ht="34" customHeight="1">
      <c r="A6" s="47" t="inlineStr">
        <is>
          <t>• V1.2 M1 (Settings, UI polish, Health source): built and live in the web app. Left: what the Health source choice does on a day without data (Open Items #17, #18) and checks on a real iPhone.</t>
        </is>
      </c>
      <c r="B6" s="48" t="n"/>
      <c r="C6" s="48" t="n"/>
      <c r="D6" s="48" t="n"/>
      <c r="E6" s="48" t="n"/>
      <c r="F6" s="48" t="n"/>
      <c r="G6" s="49" t="n"/>
    </row>
    <row r="7" ht="49" customHeight="1">
      <c r="A7" s="47" t="inlineStr">
        <is>
          <t>• V1.2 M2 (Icon, formerly The Oath): built and live. A real iPhone has received server-started Icon cards since Oct 6, with the full cycle (morning card, HONOURED, renewal, close) on Oct 9. Left: the real-iPhone acceptance pass (evening card, fallback notification, sign-out) and push setup for the client's App ID.</t>
        </is>
      </c>
      <c r="B7" s="48" t="n"/>
      <c r="C7" s="48" t="n"/>
      <c r="D7" s="48" t="n"/>
      <c r="E7" s="48" t="n"/>
      <c r="F7" s="48" t="n"/>
      <c r="G7" s="49" t="n"/>
    </row>
    <row r="8" ht="64" customHeight="1">
      <c r="A8" s="47" t="inlineStr">
        <is>
          <t>• V1.2 M3 (Word Tracker): built and live. The web app was published on Oct 10 and 11, the database holds the word scoring with the 24-hour starting-count window and the 30-minute sync grace window, and the iPhone code is on main. Checked end to end on the simulator against the live web app and database: all five formats, rename, move, delete and reconnect, reminders, and a read just after midnight that counted for the day before. Left: an iPhone build and the real-iPhone checks, starting with a Scrivener project from Dropbox (Gate A).</t>
        </is>
      </c>
      <c r="B8" s="48" t="n"/>
      <c r="C8" s="48" t="n"/>
      <c r="D8" s="48" t="n"/>
      <c r="E8" s="48" t="n"/>
      <c r="F8" s="48" t="n"/>
      <c r="G8" s="49" t="n"/>
    </row>
    <row r="9" ht="19" customHeight="1">
      <c r="A9" s="47" t="inlineStr">
        <is>
          <t>• V1.2 M4 (Multi-Activity Calendar): built and live (published Oct 11). Each calendar day shows one band per result, and a tap opens a sheet with every result of the day, its time, and that day's journal notes and Voice of Change recordings. Checked on the simulator; a real-iPhone pass is left.</t>
        </is>
      </c>
      <c r="B9" s="48" t="n"/>
      <c r="C9" s="48" t="n"/>
      <c r="D9" s="48" t="n"/>
      <c r="E9" s="48" t="n"/>
      <c r="F9" s="48" t="n"/>
      <c r="G9" s="49" t="n"/>
    </row>
    <row r="10" ht="34" customHeight="1">
      <c r="A10" s="47" t="inlineStr">
        <is>
          <t>• V1.1: built, with the web side live and test builds on real iPhones (including the client's) under a test App ID. Not yet on TestFlight for the client or submitted to the App Store; that needs the publishing account and final App ID (Open Item #14).</t>
        </is>
      </c>
      <c r="B10" s="48" t="n"/>
      <c r="C10" s="48" t="n"/>
      <c r="D10" s="48" t="n"/>
      <c r="E10" s="48" t="n"/>
      <c r="F10" s="48" t="n"/>
      <c r="G10" s="49" t="n"/>
    </row>
    <row r="11" ht="19" customHeight="1">
      <c r="A11" s="47" t="inlineStr">
        <is>
          <t>• Needs attention: the client's iPhone has not uploaded general Health data since Oct 2. Cause found on Oct 11: an upload batch too large for the server stays stuck at the head of the phone's queue. Fixed in the app; it takes effect with the next iPhone build (Open Item #20).</t>
        </is>
      </c>
      <c r="B11" s="48" t="n"/>
      <c r="C11" s="48" t="n"/>
      <c r="D11" s="48" t="n"/>
      <c r="E11" s="48" t="n"/>
      <c r="F11" s="48" t="n"/>
      <c r="G11" s="49" t="n"/>
    </row>
    <row r="13">
      <c r="A13" s="31" t="inlineStr">
        <is>
          <t>V1.2 MILESTONES</t>
        </is>
      </c>
    </row>
    <row r="14" ht="28" customHeight="1">
      <c r="A14" s="7" t="inlineStr">
        <is>
          <t>Milestone</t>
        </is>
      </c>
      <c r="B14" s="7" t="inlineStr">
        <is>
          <t>Dates</t>
        </is>
      </c>
      <c r="C14" s="7" t="inlineStr">
        <is>
          <t>Payment</t>
        </is>
      </c>
      <c r="D14" s="7" t="inlineStr">
        <is>
          <t>Est. hours</t>
        </is>
      </c>
      <c r="E14" s="7" t="inlineStr">
        <is>
          <t>Actual hours</t>
        </is>
      </c>
      <c r="F14" s="7" t="inlineStr">
        <is>
          <t>% complete</t>
        </is>
      </c>
      <c r="G14" s="7" t="inlineStr">
        <is>
          <t>Deliverable</t>
        </is>
      </c>
    </row>
    <row r="15" ht="49" customHeight="1">
      <c r="A15" s="32" t="inlineStr">
        <is>
          <t>M1</t>
        </is>
      </c>
      <c r="B15" s="32" t="inlineStr">
        <is>
          <t>Oct 1 – 3</t>
        </is>
      </c>
      <c r="C15" s="32" t="n"/>
      <c r="D15" s="34">
        <f>SUMIF('V1.2 Tasks'!B:B,"V1.2 M1",'V1.2 Tasks'!F:F)</f>
        <v>26</v>
      </c>
      <c r="E15" s="34">
        <f>SUMIF('V1.2 Tasks'!B:B,"V1.2 M1",'V1.2 Tasks'!G:G)</f>
        <v>0</v>
      </c>
      <c r="F15" s="35">
        <f>IF(COUNTIF('V1.2 Tasks'!B:B,"V1.2 M1")=0,0,COUNTIFS('V1.2 Tasks'!B:B,"V1.2 M1",'V1.2 Tasks'!H:H,"Done")/COUNTIF('V1.2 Tasks'!B:B,"V1.2 M1"))</f>
        <v>0.6666666666666666</v>
      </c>
      <c r="G15" s="50" t="inlineStr">
        <is>
          <t>Settings handoff, collapsible Settings, smooth signature, pull-to-refresh, Health source choice (Apple Watch first)</t>
        </is>
      </c>
    </row>
    <row r="16" ht="49" customHeight="1">
      <c r="A16" s="32" t="inlineStr">
        <is>
          <t>M2</t>
        </is>
      </c>
      <c r="B16" s="32" t="inlineStr">
        <is>
          <t>Oct 1 – 9</t>
        </is>
      </c>
      <c r="C16" s="32" t="n"/>
      <c r="D16" s="34">
        <f>SUMIF('V1.2 Tasks'!B:B,"V1.2 M2",'V1.2 Tasks'!F:F)</f>
        <v>64</v>
      </c>
      <c r="E16" s="34">
        <f>SUMIF('V1.2 Tasks'!B:B,"V1.2 M2",'V1.2 Tasks'!G:G)</f>
        <v>0</v>
      </c>
      <c r="F16" s="35">
        <f>IF(COUNTIF('V1.2 Tasks'!B:B,"V1.2 M2")=0,0,COUNTIFS('V1.2 Tasks'!B:B,"V1.2 M2",'V1.2 Tasks'!H:H,"Done")/COUNTIF('V1.2 Tasks'!B:B,"V1.2 M2"))</f>
        <v>0.9230769230769231</v>
      </c>
      <c r="G16" s="50" t="inlineStr">
        <is>
          <t>Icon (The Oath): Icon sheet and signing, daily results from Health, server-pushed Live Activity card, recap</t>
        </is>
      </c>
    </row>
    <row r="17" ht="34" customHeight="1">
      <c r="A17" s="32" t="inlineStr">
        <is>
          <t>M3</t>
        </is>
      </c>
      <c r="B17" s="32" t="inlineStr">
        <is>
          <t>Oct 9 – 11</t>
        </is>
      </c>
      <c r="C17" s="32" t="n"/>
      <c r="D17" s="34">
        <f>SUMIF('V1.2 Tasks'!B:B,"V1.2 M3",'V1.2 Tasks'!F:F)</f>
        <v>36</v>
      </c>
      <c r="E17" s="34">
        <f>SUMIF('V1.2 Tasks'!B:B,"V1.2 M3",'V1.2 Tasks'!G:G)</f>
        <v>0</v>
      </c>
      <c r="F17" s="35">
        <f>IF(COUNTIF('V1.2 Tasks'!B:B,"V1.2 M3")=0,0,COUNTIFS('V1.2 Tasks'!B:B,"V1.2 M3",'V1.2 Tasks'!H:H,"Done")/COUNTIF('V1.2 Tasks'!B:B,"V1.2 M3"))</f>
        <v>0.7142857142857143</v>
      </c>
      <c r="G17" s="50" t="inlineStr">
        <is>
          <t>Basic Word Tracker: Word, TextEdit and Scrivener counts read on the iPhone, scored as Icon days</t>
        </is>
      </c>
    </row>
    <row r="18" ht="34" customHeight="1">
      <c r="A18" s="32" t="inlineStr">
        <is>
          <t>M4</t>
        </is>
      </c>
      <c r="B18" s="32" t="inlineStr">
        <is>
          <t>Oct 11</t>
        </is>
      </c>
      <c r="C18" s="32" t="n"/>
      <c r="D18" s="34">
        <f>SUMIF('V1.2 Tasks'!B:B,"V1.2 M4",'V1.2 Tasks'!F:F)</f>
        <v>27</v>
      </c>
      <c r="E18" s="34">
        <f>SUMIF('V1.2 Tasks'!B:B,"V1.2 M4",'V1.2 Tasks'!G:G)</f>
        <v>0</v>
      </c>
      <c r="F18" s="35">
        <f>IF(COUNTIF('V1.2 Tasks'!B:B,"V1.2 M4")=0,0,COUNTIFS('V1.2 Tasks'!B:B,"V1.2 M4",'V1.2 Tasks'!H:H,"Done")/COUNTIF('V1.2 Tasks'!B:B,"V1.2 M4"))</f>
        <v>0.75</v>
      </c>
      <c r="G18" s="50" t="inlineStr">
        <is>
          <t>Multi-Activity Calendar: a band per result and a full day sheet</t>
        </is>
      </c>
    </row>
    <row r="19">
      <c r="A19" s="26" t="inlineStr">
        <is>
          <t>Total</t>
        </is>
      </c>
      <c r="B19" s="26" t="n"/>
      <c r="C19" s="26" t="n"/>
      <c r="D19" s="26">
        <f>SUM(D15:D18)</f>
        <v>153</v>
      </c>
      <c r="E19" s="26">
        <f>SUM(E15:E18)</f>
        <v>0</v>
      </c>
      <c r="F19" s="36">
        <f>IF(SUMPRODUCT(COUNTIF('V1.2 Tasks'!B:B,{"V1.2 M1","V1.2 M2","V1.2 M3","V1.2 M4"}))=0,0,SUMPRODUCT(COUNTIFS('V1.2 Tasks'!B:B,{"V1.2 M1","V1.2 M2","V1.2 M3","V1.2 M4"},'V1.2 Tasks'!H:H,"Done"))/SUMPRODUCT(COUNTIF('V1.2 Tasks'!B:B,{"V1.2 M1","V1.2 M2","V1.2 M3","V1.2 M4"})))</f>
        <v>0.8</v>
      </c>
      <c r="G19" s="26" t="n"/>
    </row>
    <row r="21">
      <c r="A21" s="31" t="inlineStr">
        <is>
          <t>V1.2 TASKS BY STATUS</t>
        </is>
      </c>
    </row>
    <row r="22">
      <c r="A22" s="7" t="inlineStr">
        <is>
          <t>Status</t>
        </is>
      </c>
      <c r="B22" s="7" t="inlineStr">
        <is>
          <t>Tasks</t>
        </is>
      </c>
      <c r="C22" s="7" t="inlineStr">
        <is>
          <t>Est. hours</t>
        </is>
      </c>
    </row>
    <row r="23">
      <c r="A23" s="42" t="inlineStr">
        <is>
          <t>Done</t>
        </is>
      </c>
      <c r="B23" s="34">
        <f>COUNTIFS('V1.2 Tasks'!H:H,"Done",'V1.2 Tasks'!B:B,"V1.2 M*")</f>
        <v>24</v>
      </c>
      <c r="C23" s="34">
        <f>SUMIFS('V1.2 Tasks'!F:F,'V1.2 Tasks'!H:H,"Done",'V1.2 Tasks'!B:B,"V1.2 M*")</f>
        <v>119</v>
      </c>
    </row>
    <row r="24">
      <c r="A24" s="41" t="inlineStr">
        <is>
          <t>In progress</t>
        </is>
      </c>
      <c r="B24" s="34">
        <f>COUNTIFS('V1.2 Tasks'!H:H,"In progress",'V1.2 Tasks'!B:B,"V1.2 M*")</f>
        <v>6</v>
      </c>
      <c r="C24" s="34">
        <f>SUMIFS('V1.2 Tasks'!F:F,'V1.2 Tasks'!H:H,"In progress",'V1.2 Tasks'!B:B,"V1.2 M*")</f>
        <v>34</v>
      </c>
    </row>
    <row r="25">
      <c r="A25" s="40" t="inlineStr">
        <is>
          <t>Not started</t>
        </is>
      </c>
      <c r="B25" s="34">
        <f>COUNTIFS('V1.2 Tasks'!H:H,"Not started",'V1.2 Tasks'!B:B,"V1.2 M*")</f>
        <v>0</v>
      </c>
      <c r="C25" s="34">
        <f>SUMIFS('V1.2 Tasks'!F:F,'V1.2 Tasks'!H:H,"Not started",'V1.2 Tasks'!B:B,"V1.2 M*")</f>
        <v>0</v>
      </c>
    </row>
    <row r="26">
      <c r="A26" s="43" t="inlineStr">
        <is>
          <t>Blocked</t>
        </is>
      </c>
      <c r="B26" s="34">
        <f>COUNTIFS('V1.2 Tasks'!H:H,"Blocked",'V1.2 Tasks'!B:B,"V1.2 M*")</f>
        <v>0</v>
      </c>
      <c r="C26" s="34">
        <f>SUMIFS('V1.2 Tasks'!F:F,'V1.2 Tasks'!H:H,"Blocked",'V1.2 Tasks'!B:B,"V1.2 M*")</f>
        <v>0</v>
      </c>
    </row>
    <row r="27">
      <c r="A27" s="44" t="inlineStr">
        <is>
          <t>Deferred</t>
        </is>
      </c>
      <c r="B27" s="34">
        <f>COUNTIFS('V1.2 Tasks'!H:H,"Deferred",'V1.2 Tasks'!B:B,"V1.2 M*")</f>
        <v>0</v>
      </c>
      <c r="C27" s="34">
        <f>SUMIFS('V1.2 Tasks'!F:F,'V1.2 Tasks'!H:H,"Deferred",'V1.2 Tasks'!B:B,"V1.2 M*")</f>
        <v>0</v>
      </c>
    </row>
    <row r="29">
      <c r="A29" s="31" t="inlineStr">
        <is>
          <t>NEXT STEPS</t>
        </is>
      </c>
    </row>
    <row r="30" ht="19" customHeight="1">
      <c r="A30" s="47" t="inlineStr">
        <is>
          <t>• Ship an iPhone build from main: Word Tracker, sync grace window, password saving (X-07) and native session refresh (X-12).</t>
        </is>
      </c>
      <c r="B30" s="48" t="n"/>
      <c r="C30" s="48" t="n"/>
      <c r="D30" s="48" t="n"/>
      <c r="E30" s="48" t="n"/>
      <c r="F30" s="48" t="n"/>
      <c r="G30" s="49" t="n"/>
    </row>
    <row r="31" ht="19" customHeight="1">
      <c r="A31" s="47" t="inlineStr">
        <is>
          <t>• Run the Word Tracker device checks (docs/phase2/M3-device-test-plan.vi.md): a Scrivener project from Dropbox first (Gate A), then the acceptance cases (Gate D).</t>
        </is>
      </c>
      <c r="B31" s="48" t="n"/>
      <c r="C31" s="48" t="n"/>
      <c r="D31" s="48" t="n"/>
      <c r="E31" s="48" t="n"/>
      <c r="F31" s="48" t="n"/>
      <c r="G31" s="49" t="n"/>
    </row>
    <row r="32" ht="19" customHeight="1">
      <c r="A32" s="47" t="inlineStr">
        <is>
          <t>• Install the next iPhone build on the client's iPhone and confirm its queued Health data arrives (Open Item #20).</t>
        </is>
      </c>
      <c r="B32" s="48" t="n"/>
      <c r="C32" s="48" t="n"/>
      <c r="D32" s="48" t="n"/>
      <c r="E32" s="48" t="n"/>
      <c r="F32" s="48" t="n"/>
      <c r="G32" s="49" t="n"/>
    </row>
    <row r="33" ht="34" customHeight="1">
      <c r="A33" s="47" t="inlineStr">
        <is>
          <t>• Run the real-iPhone acceptance passes for M1 (Apple Watch and Garmin source), M2 (evening card, fallback notification, sign-out) and M4 (calendar bands, day sheet, VoiceOver).</t>
        </is>
      </c>
      <c r="B33" s="48" t="n"/>
      <c r="C33" s="48" t="n"/>
      <c r="D33" s="48" t="n"/>
      <c r="E33" s="48" t="n"/>
      <c r="F33" s="48" t="n"/>
      <c r="G33" s="49" t="n"/>
    </row>
    <row r="34" ht="34" customHeight="1">
      <c r="A34" s="47" t="inlineStr">
        <is>
          <t>• Client: publishing account, final App ID and APNs key (#14), Google client IDs (#15), the decisions in Open Items #16–#18, #21, #23–#25 and #28, and a review of the two Word Tracker documents (#27).</t>
        </is>
      </c>
      <c r="B34" s="48" t="n"/>
      <c r="C34" s="48" t="n"/>
      <c r="D34" s="48" t="n"/>
      <c r="E34" s="48" t="n"/>
      <c r="F34" s="48" t="n"/>
      <c r="G34" s="49" t="n"/>
    </row>
    <row r="35" ht="19" customHeight="1">
      <c r="A35" s="47" t="inlineStr">
        <is>
          <t>• Then TestFlight for the client and App Store submission (N-21, N-22).</t>
        </is>
      </c>
      <c r="B35" s="48" t="n"/>
      <c r="C35" s="48" t="n"/>
      <c r="D35" s="48" t="n"/>
      <c r="E35" s="48" t="n"/>
      <c r="F35" s="48" t="n"/>
      <c r="G35" s="49" t="n"/>
    </row>
    <row r="37">
      <c r="A37" s="31" t="inlineStr">
        <is>
          <t>V1.1 MILESTONES</t>
        </is>
      </c>
    </row>
    <row r="38" ht="28" customHeight="1">
      <c r="A38" s="7" t="inlineStr">
        <is>
          <t>Milestone</t>
        </is>
      </c>
      <c r="B38" s="7" t="inlineStr">
        <is>
          <t>Dates</t>
        </is>
      </c>
      <c r="C38" s="7" t="inlineStr">
        <is>
          <t>Payment</t>
        </is>
      </c>
      <c r="D38" s="7" t="inlineStr">
        <is>
          <t>Est. hours</t>
        </is>
      </c>
      <c r="E38" s="7" t="inlineStr">
        <is>
          <t>Actual hours</t>
        </is>
      </c>
      <c r="F38" s="7" t="inlineStr">
        <is>
          <t>% complete</t>
        </is>
      </c>
      <c r="G38" s="7" t="inlineStr">
        <is>
          <t>Deliverable</t>
        </is>
      </c>
    </row>
    <row r="39" ht="34" customHeight="1">
      <c r="A39" s="32" t="inlineStr">
        <is>
          <t>M1</t>
        </is>
      </c>
      <c r="B39" s="32" t="inlineStr">
        <is>
          <t>Sep 8</t>
        </is>
      </c>
      <c r="C39" s="32" t="inlineStr">
        <is>
          <t>$500</t>
        </is>
      </c>
      <c r="D39" s="34">
        <f>SUMIF('V1.1 Tasks'!B:B,"M1",'V1.1 Tasks'!F:F)</f>
        <v>8</v>
      </c>
      <c r="E39" s="34">
        <f>SUMIF('V1.1 Tasks'!B:B,"M1",'V1.1 Tasks'!G:G)</f>
        <v>0</v>
      </c>
      <c r="F39" s="35">
        <f>IF(COUNTIF('V1.1 Tasks'!B:B,"M1")=0,0,COUNTIFS('V1.1 Tasks'!B:B,"M1",'V1.1 Tasks'!H:H,"Done")/COUNTIF('V1.1 Tasks'!B:B,"M1"))</f>
        <v>1</v>
      </c>
      <c r="G39" s="50" t="inlineStr">
        <is>
          <t>Scope locked: bridge contract, database schema, project configuration</t>
        </is>
      </c>
    </row>
    <row r="40" ht="34" customHeight="1">
      <c r="A40" s="32" t="inlineStr">
        <is>
          <t>M2</t>
        </is>
      </c>
      <c r="B40" s="32" t="inlineStr">
        <is>
          <t>Sep 8 – 28</t>
        </is>
      </c>
      <c r="C40" s="32" t="inlineStr">
        <is>
          <t>$700</t>
        </is>
      </c>
      <c r="D40" s="34">
        <f>SUMIF('V1.1 Tasks'!B:B,"M2",'V1.1 Tasks'!F:F)</f>
        <v>135</v>
      </c>
      <c r="E40" s="34">
        <f>SUMIF('V1.1 Tasks'!B:B,"M2",'V1.1 Tasks'!G:G)</f>
        <v>0</v>
      </c>
      <c r="F40" s="35">
        <f>IF(COUNTIF('V1.1 Tasks'!B:B,"M2")=0,0,COUNTIFS('V1.1 Tasks'!B:B,"M2",'V1.1 Tasks'!H:H,"Done")/COUNTIF('V1.1 Tasks'!B:B,"M2"))</f>
        <v>0.7272727272727273</v>
      </c>
      <c r="G40" s="50" t="inlineStr">
        <is>
          <t>V1.1 on the App Store — HealthKit, notifications, timer, gong, Sign in with Apple</t>
        </is>
      </c>
    </row>
    <row r="41" ht="34" customHeight="1">
      <c r="A41" s="32" t="inlineStr">
        <is>
          <t>M3</t>
        </is>
      </c>
      <c r="B41" s="32" t="inlineStr">
        <is>
          <t>Sep 29 – Oct 12</t>
        </is>
      </c>
      <c r="C41" s="32" t="inlineStr">
        <is>
          <t>$500</t>
        </is>
      </c>
      <c r="D41" s="34">
        <f>SUMIF('V1.1 Tasks'!B:B,"M3",'V1.1 Tasks'!F:F)</f>
        <v>40</v>
      </c>
      <c r="E41" s="34">
        <f>SUMIF('V1.1 Tasks'!B:B,"M3",'V1.1 Tasks'!G:G)</f>
        <v>0</v>
      </c>
      <c r="F41" s="35">
        <f>IF(COUNTIF('V1.1 Tasks'!B:B,"M3")=0,0,COUNTIFS('V1.1 Tasks'!B:B,"M3",'V1.1 Tasks'!H:H,"Done")/COUNTIF('V1.1 Tasks'!B:B,"M3"))</f>
        <v>0.5714285714285714</v>
      </c>
      <c r="G41" s="50" t="inlineStr">
        <is>
          <t>Dynamic Island (Live Activity) and Google Sign-In shipped</t>
        </is>
      </c>
    </row>
    <row r="42">
      <c r="A42" s="26" t="inlineStr">
        <is>
          <t>Total</t>
        </is>
      </c>
      <c r="B42" s="26" t="n"/>
      <c r="C42" s="26" t="inlineStr">
        <is>
          <t>$1,700</t>
        </is>
      </c>
      <c r="D42" s="26">
        <f>SUM(D39:D41)</f>
        <v>183</v>
      </c>
      <c r="E42" s="26">
        <f>SUM(E39:E41)</f>
        <v>0</v>
      </c>
      <c r="F42" s="36">
        <f>IF(SUMPRODUCT(COUNTIF('V1.1 Tasks'!B:B,{"M1","M2","M3"}))=0,0,SUMPRODUCT(COUNTIFS('V1.1 Tasks'!B:B,{"M1","M2","M3"},'V1.1 Tasks'!H:H,"Done"))/SUMPRODUCT(COUNTIF('V1.1 Tasks'!B:B,{"M1","M2","M3"})))</f>
        <v>0.7272727272727273</v>
      </c>
      <c r="G42" s="26" t="n"/>
    </row>
    <row r="44">
      <c r="A44" s="31" t="inlineStr">
        <is>
          <t>CONFIRMED DECISIONS</t>
        </is>
      </c>
    </row>
    <row r="45" ht="28" customHeight="1">
      <c r="A45" s="7" t="inlineStr">
        <is>
          <t>Topic</t>
        </is>
      </c>
      <c r="B45" s="7" t="inlineStr">
        <is>
          <t>Decision</t>
        </is>
      </c>
      <c r="C45" s="48" t="n"/>
      <c r="D45" s="48" t="n"/>
      <c r="E45" s="48" t="n"/>
      <c r="F45" s="48" t="n"/>
      <c r="G45" s="49" t="n"/>
    </row>
    <row r="46" ht="34" customHeight="1">
      <c r="A46" s="51" t="inlineStr">
        <is>
          <t>V1.2 · Icon</t>
        </is>
      </c>
      <c r="B46" s="47" t="inlineStr">
        <is>
          <t>The Oath ships as 'Icon' (client rename, Oct 1). The Apple Wallet pass was replaced by a Live Activity card (scope v6, Sep 28).</t>
        </is>
      </c>
      <c r="C46" s="48" t="n"/>
      <c r="D46" s="48" t="n"/>
      <c r="E46" s="48" t="n"/>
      <c r="F46" s="48" t="n"/>
      <c r="G46" s="49" t="n"/>
    </row>
    <row r="47" ht="49" customHeight="1">
      <c r="A47" s="51" t="inlineStr">
        <is>
          <t>V1.2 · Icon card</t>
        </is>
      </c>
      <c r="B47" s="47" t="inlineStr">
        <is>
          <t>No evening progress bar: the evening card matches the morning card with 'Finish what you signed.', and progress is shown in the app. Simple Dynamic Island with the mark and target (Sep 28); the day's Health total was added to the island on Oct 5.</t>
        </is>
      </c>
      <c r="C47" s="48" t="n"/>
      <c r="D47" s="48" t="n"/>
      <c r="E47" s="48" t="n"/>
      <c r="F47" s="48" t="n"/>
      <c r="G47" s="49" t="n"/>
    </row>
    <row r="48" ht="49" customHeight="1">
      <c r="A48" s="51" t="inlineStr">
        <is>
          <t>V1.2 · Scoring</t>
        </is>
      </c>
      <c r="B48" s="47" t="inlineStr">
        <is>
          <t>HONOURED as soon as the target is met, even before the cut-off. BROKEN waits for the full day after the cut-off; a day still pending 24 h after the cut-off becomes BROKEN, Word Tracker days too if the app is not opened (Sep 28).</t>
        </is>
      </c>
      <c r="C48" s="48" t="n"/>
      <c r="D48" s="48" t="n"/>
      <c r="E48" s="48" t="n"/>
      <c r="F48" s="48" t="n"/>
      <c r="G48" s="49" t="n"/>
    </row>
    <row r="49" ht="49" customHeight="1">
      <c r="A49" s="51" t="inlineStr">
        <is>
          <t>V1.2 · Word Tracker rules</t>
        </is>
      </c>
      <c r="B49" s="47" t="inlineStr">
        <is>
          <t>The starting count is the last reading before the Icon day starts and the latest reading before the cut-off decides the day; the evening reminder is within 8 h before the cut-off (Sep 28). Scrivener stays in M3 unless a blocker is proven on a device. Refined on Oct 10–11 and awaiting confirmation: see Open Item #23.</t>
        </is>
      </c>
      <c r="C49" s="48" t="n"/>
      <c r="D49" s="48" t="n"/>
      <c r="E49" s="48" t="n"/>
      <c r="F49" s="48" t="n"/>
      <c r="G49" s="49" t="n"/>
    </row>
    <row r="50" ht="26" customHeight="1">
      <c r="A50" s="51" t="inlineStr">
        <is>
          <t>V1.2 · Push</t>
        </is>
      </c>
      <c r="B50" s="47" t="inlineStr">
        <is>
          <t>The client provides the APNs key, Key ID and Team ID (Sep 28).</t>
        </is>
      </c>
      <c r="C50" s="48" t="n"/>
      <c r="D50" s="48" t="n"/>
      <c r="E50" s="48" t="n"/>
      <c r="F50" s="48" t="n"/>
      <c r="G50" s="49" t="n"/>
    </row>
    <row r="51" ht="26" customHeight="1">
      <c r="A51" s="51" t="inlineStr">
        <is>
          <t>V1.2 · Copy</t>
        </is>
      </c>
      <c r="B51" s="47" t="inlineStr">
        <is>
          <t>The seven rotating affirmations and the recap and end-of-Icon wording were approved on Oct 4.</t>
        </is>
      </c>
      <c r="C51" s="48" t="n"/>
      <c r="D51" s="48" t="n"/>
      <c r="E51" s="48" t="n"/>
      <c r="F51" s="48" t="n"/>
      <c r="G51" s="49" t="n"/>
    </row>
    <row r="52" ht="34" customHeight="1">
      <c r="A52" s="51" t="inlineStr">
        <is>
          <t>V1.2 · One contract per day</t>
        </is>
      </c>
      <c r="B52" s="47" t="inlineStr">
        <is>
          <t>A day held by an active Icon takes no other contract (Oct 4). One regular contract at a time; Home does not offer a new one while one is in force (Oct 7).</t>
        </is>
      </c>
      <c r="C52" s="48" t="n"/>
      <c r="D52" s="48" t="n"/>
      <c r="E52" s="48" t="n"/>
      <c r="F52" s="48" t="n"/>
      <c r="G52" s="49" t="n"/>
    </row>
    <row r="53" ht="26" customHeight="1">
      <c r="A53" s="51" t="inlineStr">
        <is>
          <t>V1.2 · Settings</t>
        </is>
      </c>
      <c r="B53" s="47" t="inlineStr">
        <is>
          <t>Every Settings section starts closed (Oct 2).</t>
        </is>
      </c>
      <c r="C53" s="48" t="n"/>
      <c r="D53" s="48" t="n"/>
      <c r="E53" s="48" t="n"/>
      <c r="F53" s="48" t="n"/>
      <c r="G53" s="49" t="n"/>
    </row>
    <row r="54" ht="26" customHeight="1">
      <c r="A54" s="51" t="inlineStr">
        <is>
          <t>Dynamic Island</t>
        </is>
      </c>
      <c r="B54" s="47" t="inlineStr">
        <is>
          <t>Ships in M3 (October) as a follow-up update, so it does not block the Sep 28 launch.</t>
        </is>
      </c>
      <c r="C54" s="48" t="n"/>
      <c r="D54" s="48" t="n"/>
      <c r="E54" s="48" t="n"/>
      <c r="F54" s="48" t="n"/>
      <c r="G54" s="49" t="n"/>
    </row>
    <row r="55" ht="26" customHeight="1">
      <c r="A55" s="51" t="inlineStr">
        <is>
          <t>Notifications</t>
        </is>
      </c>
      <c r="B55" s="47" t="inlineStr">
        <is>
          <t>Local, on-device notifications. No server-triggered push infrastructure.</t>
        </is>
      </c>
      <c r="C55" s="48" t="n"/>
      <c r="D55" s="48" t="n"/>
      <c r="E55" s="48" t="n"/>
      <c r="F55" s="48" t="n"/>
      <c r="G55" s="49" t="n"/>
    </row>
    <row r="56" ht="26" customHeight="1">
      <c r="A56" s="51" t="inlineStr">
        <is>
          <t>Sleep data</t>
        </is>
      </c>
      <c r="B56" s="47" t="inlineStr">
        <is>
          <t>The metric is hidden when no data is available (common on iPhone without an Apple Watch).</t>
        </is>
      </c>
      <c r="C56" s="48" t="n"/>
      <c r="D56" s="48" t="n"/>
      <c r="E56" s="48" t="n"/>
      <c r="F56" s="48" t="n"/>
      <c r="G56" s="49" t="n"/>
    </row>
    <row r="57" ht="26" customHeight="1">
      <c r="A57" s="51" t="inlineStr">
        <is>
          <t>Sign-in</t>
        </is>
      </c>
      <c r="B57" s="47" t="inlineStr">
        <is>
          <t>V1.1 ships Sign in with Apple only. Google Sign-In moves to M3.</t>
        </is>
      </c>
      <c r="C57" s="48" t="n"/>
      <c r="D57" s="48" t="n"/>
      <c r="E57" s="48" t="n"/>
      <c r="F57" s="48" t="n"/>
      <c r="G57" s="49" t="n"/>
    </row>
    <row r="58" ht="26" customHeight="1">
      <c r="A58" s="51" t="inlineStr">
        <is>
          <t>Background sync</t>
        </is>
      </c>
      <c r="B58" s="47" t="inlineStr">
        <is>
          <t>Best-effort. iOS schedules background work opportunistically; an exact 1–2 hour cadence cannot be guaranteed.</t>
        </is>
      </c>
      <c r="C58" s="48" t="n"/>
      <c r="D58" s="48" t="n"/>
      <c r="E58" s="48" t="n"/>
      <c r="F58" s="48" t="n"/>
      <c r="G58" s="49" t="n"/>
    </row>
    <row r="59" ht="26" customHeight="1">
      <c r="A59" s="51" t="inlineStr">
        <is>
          <t>Android</t>
        </is>
      </c>
      <c r="B59" s="47" t="inlineStr">
        <is>
          <t>Out of scope for V1.1, consistent with the original spec (V1.2+).</t>
        </is>
      </c>
      <c r="C59" s="48" t="n"/>
      <c r="D59" s="48" t="n"/>
      <c r="E59" s="48" t="n"/>
      <c r="F59" s="48" t="n"/>
      <c r="G59" s="49" t="n"/>
    </row>
    <row r="60" ht="34" customHeight="1">
      <c r="A60" s="51" t="inlineStr">
        <is>
          <t>Daily totals</t>
        </is>
      </c>
      <c r="B60" s="47" t="inlineStr">
        <is>
          <t>Computed on-device with HealthKit statistics (source-deduplicated) and uploaded as such, so iPhone + Watch users are not double counted. Decided Sep 13.</t>
        </is>
      </c>
      <c r="C60" s="48" t="n"/>
      <c r="D60" s="48" t="n"/>
      <c r="E60" s="48" t="n"/>
      <c r="F60" s="48" t="n"/>
      <c r="G60" s="49" t="n"/>
    </row>
    <row r="62">
      <c r="A62" s="31" t="inlineStr">
        <is>
          <t>STATUS LEGEND</t>
        </is>
      </c>
    </row>
    <row r="63">
      <c r="A63" s="40" t="inlineStr">
        <is>
          <t>Not started</t>
        </is>
      </c>
    </row>
    <row r="64">
      <c r="A64" s="41" t="inlineStr">
        <is>
          <t>In progress</t>
        </is>
      </c>
    </row>
    <row r="65">
      <c r="A65" s="42" t="inlineStr">
        <is>
          <t>Done</t>
        </is>
      </c>
    </row>
    <row r="66">
      <c r="A66" s="43" t="inlineStr">
        <is>
          <t>Blocked</t>
        </is>
      </c>
    </row>
    <row r="67">
      <c r="A67" s="44" t="inlineStr">
        <is>
          <t>Deferred</t>
        </is>
      </c>
    </row>
  </sheetData>
  <mergeCells count="29">
    <mergeCell ref="A32:G32"/>
    <mergeCell ref="A8:G8"/>
    <mergeCell ref="B60:G60"/>
    <mergeCell ref="A35:G35"/>
    <mergeCell ref="B57:G57"/>
    <mergeCell ref="B53:G53"/>
    <mergeCell ref="A10:G10"/>
    <mergeCell ref="A33:G33"/>
    <mergeCell ref="A9:G9"/>
    <mergeCell ref="A31:G31"/>
    <mergeCell ref="A34:G34"/>
    <mergeCell ref="B49:G49"/>
    <mergeCell ref="A30:G30"/>
    <mergeCell ref="A11:G11"/>
    <mergeCell ref="B55:G55"/>
    <mergeCell ref="B51:G51"/>
    <mergeCell ref="A6:G6"/>
    <mergeCell ref="B45:G45"/>
    <mergeCell ref="B50:G50"/>
    <mergeCell ref="A7:G7"/>
    <mergeCell ref="B47:G47"/>
    <mergeCell ref="B54:G54"/>
    <mergeCell ref="B46:G46"/>
    <mergeCell ref="B59:G59"/>
    <mergeCell ref="A2:G2"/>
    <mergeCell ref="B56:G56"/>
    <mergeCell ref="B58:G58"/>
    <mergeCell ref="B52:G52"/>
    <mergeCell ref="B48:G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activeCell="A1" sqref="A1"/>
    </sheetView>
  </sheetViews>
  <sheetFormatPr baseColWidth="8" defaultRowHeight="15"/>
  <cols>
    <col width="10.00500011444092" customWidth="1" style="17" min="1" max="1"/>
    <col width="18.0049991607666" customWidth="1" style="13" min="2" max="2"/>
    <col width="26.0049991607666" customWidth="1" style="13" min="3" max="3"/>
    <col width="46.00500106811523" customWidth="1" style="13" min="4" max="4"/>
    <col width="14.00500011444092" customWidth="1" style="13" min="5" max="5"/>
    <col width="9.005000114440918" customWidth="1" style="13" min="6" max="6"/>
    <col width="9.005000114440918" customWidth="1" style="13" min="7" max="7"/>
    <col width="40.00500106811523" customWidth="1" style="13" min="8" max="8"/>
    <col width="34.00500106811523" customWidth="1" style="13" min="9" max="9"/>
    <col width="40.00500106811523" customWidth="1" style="13" min="10" max="10"/>
  </cols>
  <sheetData>
    <row r="1" ht="17.25" customHeight="1">
      <c r="A1" s="14" t="inlineStr">
        <is>
          <t>Weekly Progress</t>
        </is>
      </c>
      <c r="B1" s="13" t="n"/>
      <c r="C1" s="13" t="n"/>
      <c r="D1" s="13" t="n"/>
      <c r="E1" s="13" t="n"/>
      <c r="F1" s="13" t="n"/>
      <c r="G1" s="13" t="n"/>
      <c r="H1" s="13" t="n"/>
      <c r="I1" s="13" t="n"/>
      <c r="J1" s="13" t="n"/>
    </row>
    <row r="2" ht="17.25" customHeight="1">
      <c r="A2" s="15" t="inlineStr">
        <is>
          <t>Week-level summary, updated as work lands. Est. h covers both V1.1 and V1.2 tasks planned for the week. Screenshots and build links go in the Screenshots sheet.</t>
        </is>
      </c>
      <c r="B2" s="13" t="n"/>
      <c r="C2" s="13" t="n"/>
      <c r="D2" s="13" t="n"/>
      <c r="E2" s="13" t="n"/>
      <c r="F2" s="13" t="n"/>
      <c r="G2" s="13" t="n"/>
      <c r="H2" s="13" t="n"/>
      <c r="I2" s="13" t="n"/>
      <c r="J2" s="13" t="n"/>
    </row>
    <row r="3" ht="17.25" customHeight="1">
      <c r="A3" s="17" t="n"/>
      <c r="B3" s="13" t="n"/>
      <c r="C3" s="13" t="n"/>
      <c r="D3" s="13" t="n"/>
      <c r="E3" s="13" t="n"/>
      <c r="F3" s="13" t="n"/>
      <c r="G3" s="13" t="n"/>
      <c r="H3" s="13" t="n"/>
      <c r="I3" s="13" t="n"/>
      <c r="J3" s="13" t="n"/>
    </row>
    <row r="4" ht="28" customFormat="1" customHeight="1" s="5">
      <c r="A4" s="7" t="inlineStr">
        <is>
          <t>Week</t>
        </is>
      </c>
      <c r="B4" s="7" t="inlineStr">
        <is>
          <t>Dates</t>
        </is>
      </c>
      <c r="C4" s="7" t="inlineStr">
        <is>
          <t>Focus</t>
        </is>
      </c>
      <c r="D4" s="7" t="inlineStr">
        <is>
          <t>Planned this week</t>
        </is>
      </c>
      <c r="E4" s="7" t="inlineStr">
        <is>
          <t>Status</t>
        </is>
      </c>
      <c r="F4" s="7" t="inlineStr">
        <is>
          <t>Est. h</t>
        </is>
      </c>
      <c r="G4" s="7" t="inlineStr">
        <is>
          <t>Actual h</t>
        </is>
      </c>
      <c r="H4" s="7" t="inlineStr">
        <is>
          <t>Delivered so far</t>
        </is>
      </c>
      <c r="I4" s="7" t="inlineStr">
        <is>
          <t>Blockers</t>
        </is>
      </c>
      <c r="J4" s="7" t="inlineStr">
        <is>
          <t>Notes for client</t>
        </is>
      </c>
    </row>
    <row r="5" ht="39.75" customFormat="1" customHeight="1" s="5">
      <c r="A5" s="19" t="inlineStr">
        <is>
          <t>Scope lock</t>
        </is>
      </c>
      <c r="B5" s="28" t="inlineStr">
        <is>
          <t>Sep 8</t>
        </is>
      </c>
      <c r="C5" s="28" t="inlineStr">
        <is>
          <t>Contract and schema locked</t>
        </is>
      </c>
      <c r="D5" s="28" t="inlineStr">
        <is>
          <t>Bridge v2 message contract, Supabase schema and RLS, project configuration, written confirmation of decisions</t>
        </is>
      </c>
      <c r="E5" s="28" t="inlineStr">
        <is>
          <t>Done</t>
        </is>
      </c>
      <c r="F5" s="28">
        <f>SUMIF('V1.1 Tasks'!C:C,"Scope lock",'V1.1 Tasks'!F:F)+SUMIF('V1.2 Tasks'!C:C,"Scope lock",'V1.2 Tasks'!F:F)</f>
        <v>8</v>
      </c>
      <c r="G5" s="28" t="n"/>
      <c r="H5" s="28" t="inlineStr">
        <is>
          <t>Bridge v2 contract, metric mapping and client decisions confirmed. Schema design done; apply path pending.</t>
        </is>
      </c>
      <c r="I5" s="28" t="n"/>
      <c r="J5" s="28" t="n"/>
    </row>
    <row r="6" ht="96" customFormat="1" customHeight="1" s="5">
      <c r="A6" s="21" t="inlineStr">
        <is>
          <t>Week 1</t>
        </is>
      </c>
      <c r="B6" s="29" t="inlineStr">
        <is>
          <t>Sep 8 – 14</t>
        </is>
      </c>
      <c r="C6" s="29" t="inlineStr">
        <is>
          <t>HealthKit foundation</t>
        </is>
      </c>
      <c r="D6" s="29" t="inlineStr">
        <is>
          <t>Permission flow, reads for all seven metrics, Supabase sync, offline queue, duplicate protection</t>
        </is>
      </c>
      <c r="E6" s="29" t="inlineStr">
        <is>
          <t>Done</t>
        </is>
      </c>
      <c r="F6" s="29">
        <f>SUMIF('V1.1 Tasks'!C:C,"Week 1",'V1.1 Tasks'!F:F)+SUMIF('V1.2 Tasks'!C:C,"Week 1",'V1.2 Tasks'!F:F)</f>
        <v>45</v>
      </c>
      <c r="G6" s="29" t="n"/>
      <c r="H6" s="29" t="inlineStr">
        <is>
          <t>Native Week 1 code completed and audited: HealthKit permission/anchored reads, source-deduplicated daily totals, Supabase sync, user-bound offline queue, real reconnect retry, Keychain token refresh and bridge v2. Supabase production schema/RPC access controls rechecked; Lovable commit 9c13 passed 91 web tests.</t>
        </is>
      </c>
      <c r="I6" s="29" t="inlineStr">
        <is>
          <t>Real-device HealthKit checks (permission sheet decisions, second-run anchors, deletion, airplane mode) are scheduled as Week 3 QA and need Apple Developer access. Production E2E still needs Lovable to publish.</t>
        </is>
      </c>
      <c r="J6" s="29" t="inlineStr">
        <is>
          <t>Sep 15 audit fixed reconnect reads, retry looping, account isolation, finite-number validation, overlapping sleep totals and late historical samples. Static checks pass. The attempted simulator build was stopped with no result; latest confirmed simulator build remains Sep 14.</t>
        </is>
      </c>
    </row>
    <row r="7" ht="174.75" customFormat="1" customHeight="1" s="5">
      <c r="A7" s="19" t="inlineStr">
        <is>
          <t>Week 2</t>
        </is>
      </c>
      <c r="B7" s="28" t="inlineStr">
        <is>
          <t>Sep 15 – 21</t>
        </is>
      </c>
      <c r="C7" s="28" t="inlineStr">
        <is>
          <t>Ceremony and identity</t>
        </is>
      </c>
      <c r="D7" s="28" t="inlineStr">
        <is>
          <t>Background sync, Testament Timer notifications, goal-completion alerts, gong sound, Sign in with Apple</t>
        </is>
      </c>
      <c r="E7" s="28" t="inlineStr">
        <is>
          <t>Done</t>
        </is>
      </c>
      <c r="F7" s="28">
        <f>SUMIF('V1.1 Tasks'!C:C,"Week 2",'V1.1 Tasks'!F:F)+SUMIF('V1.2 Tasks'!C:C,"Week 2",'V1.2 Tasks'!F:F)</f>
        <v>50</v>
      </c>
      <c r="G7" s="28" t="n"/>
      <c r="H7" s="28" t="inlineStr">
        <is>
          <t>N-09 to N-16 delivered. Sep 25 update: HealthKit background delivery now requests immediate observer callbacks for all nine metrics and refreshes Live Activities before the full sync pass. Notification permission can be enabled from the in-app Settings row. Completion sound defaults on and uses a bundled three-strike gong. Lovable notification settings are published.</t>
        </is>
      </c>
      <c r="I7" s="28" t="inlineStr">
        <is>
          <t>Real-device acceptance remains for background timing, lock-screen sound under device Focus/silent settings, notification taps and HealthKit delivery. iOS schedules HealthKit background launches opportunistically, even with immediate frequency.</t>
        </is>
      </c>
      <c r="J7" s="28" t="inlineStr">
        <is>
          <t>Native commit 12c0270; 94/94 iOS tests passed. Lovable notification settings published from commits 43173dad and 0075b4b; 295 web tests passed before the Flash guidance follow-up.</t>
        </is>
      </c>
    </row>
    <row r="8" ht="192.5" customFormat="1" customHeight="1" s="5">
      <c r="A8" s="21" t="inlineStr">
        <is>
          <t>Week 3</t>
        </is>
      </c>
      <c r="B8" s="29" t="inlineStr">
        <is>
          <t>Sep 22 – 28</t>
        </is>
      </c>
      <c r="C8" s="29" t="inlineStr">
        <is>
          <t>QA and release</t>
        </is>
      </c>
      <c r="D8" s="29" t="inlineStr">
        <is>
          <t>Permission and background QA, bug fixes, privacy paperwork, TestFlight, App Store submission</t>
        </is>
      </c>
      <c r="E8" s="29" t="inlineStr">
        <is>
          <t>In progress</t>
        </is>
      </c>
      <c r="F8" s="29">
        <f>SUMIF('V1.1 Tasks'!C:C,"Week 3",'V1.1 Tasks'!F:F)+SUMIF('V1.2 Tasks'!C:C,"Week 3",'V1.2 Tasks'!F:F)</f>
        <v>40</v>
      </c>
      <c r="G8" s="29" t="n"/>
      <c r="H8" s="29" t="inlineStr">
        <is>
          <t>Device testing moved to real iPhones, including the client's own from Sep 23: Health data synced and Sign in with Apple worked end to end, and a Live Activity device test led to the completion pulse (59055e8). Fixes from testing: timer reporting under Focus (5b84381) and the completion sound cutting into music (b33c764). The Dynamic Island work (N-23 to N-27) and Google Sign-In for iPhone and Android landed early (08fd447, Sep 24); notification settings and Flash guidance were published Sep 25; Health units refined Sep 27; version 1.0.4 (build 1) on Sep 28.</t>
        </is>
      </c>
      <c r="I8" s="29" t="inlineStr">
        <is>
          <t>No App Store submission: the release needs the publishing account and final App ID, as every build uses the test App ID. Privacy label and HealthKit review notes not written. The QA matrix (N-17/N-18) has not been run as a recorded pass.</t>
        </is>
      </c>
      <c r="J8" s="29" t="inlineStr">
        <is>
          <t>The App Store submission planned for Sep 28 has not happened yet. Testing moved to real iPhones on a test App ID, and the issues found were fixed the same week.</t>
        </is>
      </c>
    </row>
    <row r="9" ht="178" customFormat="1" customHeight="1" s="5">
      <c r="A9" s="19" t="inlineStr">
        <is>
          <t>Week 4</t>
        </is>
      </c>
      <c r="B9" s="28" t="inlineStr">
        <is>
          <t>Sep 29 – Oct 5</t>
        </is>
      </c>
      <c r="C9" s="28" t="inlineStr">
        <is>
          <t>Dynamic Island build</t>
        </is>
      </c>
      <c r="D9" s="28" t="inlineStr">
        <is>
          <t>Widget Extension target, Live Activity presentations, activity lifecycle</t>
        </is>
      </c>
      <c r="E9" s="28" t="inlineStr">
        <is>
          <t>In progress</t>
        </is>
      </c>
      <c r="F9" s="28">
        <f>SUMIF('V1.1 Tasks'!C:C,"Week 4",'V1.1 Tasks'!F:F)+SUMIF('V1.2 Tasks'!C:C,"Week 4",'V1.2 Tasks'!F:F)</f>
        <v>103.5</v>
      </c>
      <c r="G9" s="28" t="n"/>
      <c r="H9" s="28" t="inlineStr">
        <is>
          <t>V1.1: Sign in with Apple adds Apple to the signed-in account (Oct 1); Terms, Privacy Policy and sign-up consent (Oct 4); Android link crash fixed (Oct 4); version 1.0.5 (build 1) on Oct 3. V1.2 M1 built and published: Settings handoff, collapsible Settings, smooth signature, pull-to-refresh and the Health source choice. V1.2 M2 built: Icon sheet and signing, Icon database, scoring, push tokens, the every-minute push job, the Icon card, affirmations and recap (both approved Oct 4), and History entries per Icon day (Oct 5).</t>
        </is>
      </c>
      <c r="I9" s="28" t="inlineStr">
        <is>
          <t>Release still waits on the publishing account and App ID; Google sign-in inside the iPhone app waits on its client IDs.</t>
        </is>
      </c>
      <c r="J9" s="28" t="inlineStr">
        <is>
          <t>Most of the week went to V1.2 M1 and M2 (see the V1.2 Tasks sheet). The Lock Screen and expanded Live Activity views still need a recorded device pass (N-24).</t>
        </is>
      </c>
    </row>
    <row r="10" ht="236" customFormat="1" customHeight="1" s="5">
      <c r="A10" s="21" t="inlineStr">
        <is>
          <t>Week 5</t>
        </is>
      </c>
      <c r="B10" s="29" t="inlineStr">
        <is>
          <t>Oct 6 – 12</t>
        </is>
      </c>
      <c r="C10" s="29" t="inlineStr">
        <is>
          <t>Dynamic Island finish + Google</t>
        </is>
      </c>
      <c r="D10" s="29" t="inlineStr">
        <is>
          <t>Flash-for-alerts guidance, HealthKit goal hook, Google Sign-In, QA and update submission</t>
        </is>
      </c>
      <c r="E10" s="29" t="inlineStr">
        <is>
          <t>In progress</t>
        </is>
      </c>
      <c r="F10" s="29">
        <f>SUMIF('V1.1 Tasks'!C:C,"Week 5",'V1.1 Tasks'!F:F)+SUMIF('V1.2 Tasks'!C:C,"Week 5",'V1.2 Tasks'!F:F)</f>
        <v>51.5</v>
      </c>
      <c r="G10" s="29" t="n"/>
      <c r="H10" s="29" t="inlineStr">
        <is>
          <t>Published web build 48b7a74 (Oct 7) carries every V1.1 web part and V1.2 M1 and M2. Icon card renewal before iOS's 8-hour limit and the Testament Timer for Icons (Oct 6); the client's Icon screen changes (Oct 6–7). A real iPhone has received server-started Icon cards since Oct 6, with a full cycle on Oct 9. The V1.2 M3 Word Tracker was built in code and tested on Oct 9–10 (iPhone 188/188, web 573/573, database 63/63); it is not live yet. Oct 10: the Word Tracker database change was applied to production; the review gaps were fixed (reads from any screen, combining marks, cut-off reminders, Scrivener in the file picker); the web part is built (not yet published) and the iPhone part is committed on a branch. Oct 10–11: the Word Tracker went live (web published, three database changes, iPhone code on main) and passed end to end on the simulator, including the grace window across midnight; M4 (calendar bands and the day sheet) was built and published.</t>
        </is>
      </c>
      <c r="I10" s="29" t="inlineStr">
        <is>
          <t>Publishing account and final App ID; Google client IDs for the iPhone app; the Word Tracker web publish and iPhone build. The stalled Health upload (since Oct 2 on the client's iPhone) was traced and fixed in the app on Oct 11; it needs the next iPhone build.</t>
        </is>
      </c>
      <c r="J10" s="29" t="inlineStr">
        <is>
          <t>Next: an iPhone build, the real-iPhone acceptance passes (Word Tracker first, then M1, M2 and M4) and the Health upload investigation.</t>
        </is>
      </c>
    </row>
    <row r="11" ht="76.5" customHeight="1">
      <c r="A11" s="19" t="inlineStr">
        <is>
          <t>Week 6</t>
        </is>
      </c>
      <c r="B11" s="28" t="inlineStr">
        <is>
          <t>Oct 13 – 19</t>
        </is>
      </c>
      <c r="C11" s="28" t="inlineStr">
        <is>
          <t>iPhone build and device acceptance</t>
        </is>
      </c>
      <c r="D11" s="28" t="inlineStr">
        <is>
          <t>Ship an iPhone build from main; Word Tracker device checks (Gate A first, then Gate D); real-iPhone passes for M1, M2 and M4; Health upload investigation; client decisions (Open Items #14–#18, #21, #23–#25, #27, #28)</t>
        </is>
      </c>
      <c r="E11" s="28" t="inlineStr">
        <is>
          <t>Not started</t>
        </is>
      </c>
      <c r="F11" s="28">
        <f>SUMIF('V1.1 Tasks'!C:C,"Week 6",'V1.1 Tasks'!F:F)+SUMIF('V1.2 Tasks'!C:C,"Week 6",'V1.2 Tasks'!F:F)</f>
        <v>38</v>
      </c>
      <c r="G11" s="28" t="n"/>
      <c r="H11" s="28" t="n"/>
      <c r="I11" s="28" t="inlineStr">
        <is>
          <t>The client's publishing account and App ID</t>
        </is>
      </c>
      <c r="J11" s="28" t="n"/>
    </row>
  </sheetData>
  <conditionalFormatting sqref="E5:E100">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"Deferred"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47"/>
  <sheetViews>
    <sheetView workbookViewId="0">
      <pane ySplit="4" topLeftCell="A5" activePane="bottomLeft" state="frozen"/>
      <selection pane="bottomLeft" activeCell="A1" sqref="A1"/>
    </sheetView>
  </sheetViews>
  <sheetFormatPr baseColWidth="8" defaultRowHeight="15"/>
  <cols>
    <col width="9.005000114440918" customWidth="1" style="17" min="1" max="1"/>
    <col width="11.00500011444092" customWidth="1" style="17" min="2" max="2"/>
    <col width="12.00500011444092" customWidth="1" style="17" min="3" max="3"/>
    <col width="46.00500106811523" customWidth="1" style="17" min="4" max="4"/>
    <col width="10.00500011444092" customWidth="1" style="17" min="5" max="5"/>
    <col width="8.005000114440918" customWidth="1" style="27" min="6" max="6"/>
    <col width="9.005000114440918" customWidth="1" style="17" min="7" max="7"/>
    <col width="14.00500011444092" customWidth="1" style="17" min="8" max="8"/>
    <col width="44.00500106811523" customWidth="1" style="17" min="9" max="9"/>
    <col width="30.0049991607666" customWidth="1" style="17" min="10" max="10"/>
    <col width="60.00500106811523" customWidth="1" style="17" min="11" max="11"/>
  </cols>
  <sheetData>
    <row r="1" ht="17.25" customHeight="1">
      <c r="A1" s="14" t="inlineStr">
        <is>
          <t>V1.2 Task Tracker</t>
        </is>
      </c>
      <c r="B1" s="17" t="n"/>
      <c r="C1" s="17" t="n"/>
      <c r="D1" s="17" t="n"/>
      <c r="E1" s="17" t="n"/>
      <c r="F1" s="27" t="n"/>
      <c r="G1" s="17" t="n"/>
      <c r="H1" s="17" t="n"/>
      <c r="I1" s="17" t="n"/>
      <c r="J1" s="17" t="n"/>
      <c r="K1" s="17" t="n"/>
    </row>
    <row r="2" ht="17.25" customHeight="1">
      <c r="A2" s="15" t="inlineStr">
        <is>
          <t>Every V1.2 task (M1–M4), plus extra work done along the way (X rows, not in the estimate). Statuses were checked on Oct 10 against the code, the published web app and the live database.</t>
        </is>
      </c>
      <c r="B2" s="17" t="n"/>
      <c r="C2" s="17" t="n"/>
      <c r="D2" s="17" t="n"/>
      <c r="E2" s="17" t="n"/>
      <c r="F2" s="27" t="n"/>
      <c r="G2" s="17" t="n"/>
      <c r="H2" s="17" t="n"/>
      <c r="I2" s="17" t="n"/>
      <c r="J2" s="17" t="n"/>
      <c r="K2" s="17" t="n"/>
    </row>
    <row r="3" ht="17.25" customHeight="1">
      <c r="A3" s="17" t="n"/>
      <c r="B3" s="17" t="n"/>
      <c r="C3" s="17" t="n"/>
      <c r="D3" s="17" t="n"/>
      <c r="E3" s="17" t="n"/>
      <c r="F3" s="27" t="n"/>
      <c r="G3" s="17" t="n"/>
      <c r="H3" s="17" t="n"/>
      <c r="I3" s="17" t="n"/>
      <c r="J3" s="17" t="n"/>
      <c r="K3" s="17" t="n"/>
    </row>
    <row r="4" ht="28" customFormat="1" customHeight="1" s="5">
      <c r="A4" s="7" t="inlineStr">
        <is>
          <t>ID</t>
        </is>
      </c>
      <c r="B4" s="7" t="inlineStr">
        <is>
          <t>Milestone</t>
        </is>
      </c>
      <c r="C4" s="7" t="inlineStr">
        <is>
          <t>Week</t>
        </is>
      </c>
      <c r="D4" s="7" t="inlineStr">
        <is>
          <t>Task</t>
        </is>
      </c>
      <c r="E4" s="7" t="inlineStr">
        <is>
          <t>Layer</t>
        </is>
      </c>
      <c r="F4" s="6" t="inlineStr">
        <is>
          <t>Est. h</t>
        </is>
      </c>
      <c r="G4" s="7" t="inlineStr">
        <is>
          <t>Actual h</t>
        </is>
      </c>
      <c r="H4" s="7" t="inlineStr">
        <is>
          <t>Status</t>
        </is>
      </c>
      <c r="I4" s="7" t="inlineStr">
        <is>
          <t>Done when</t>
        </is>
      </c>
      <c r="J4" s="7" t="inlineStr">
        <is>
          <t>Evidence</t>
        </is>
      </c>
      <c r="K4" s="7" t="inlineStr">
        <is>
          <t>Notes</t>
        </is>
      </c>
    </row>
    <row r="5" ht="76.5" customFormat="1" customHeight="1" s="5">
      <c r="A5" s="19" t="inlineStr">
        <is>
          <t>M1-01</t>
        </is>
      </c>
      <c r="B5" s="28" t="inlineStr">
        <is>
          <t>V1.2 M1</t>
        </is>
      </c>
      <c r="C5" s="28" t="inlineStr">
        <is>
          <t>Week 4</t>
        </is>
      </c>
      <c r="D5" s="28" t="inlineStr">
        <is>
          <t>Settings handoff: notification toggle works, placeholder text removed, confirmation before reset</t>
        </is>
      </c>
      <c r="E5" s="28" t="inlineStr">
        <is>
          <t>Web</t>
        </is>
      </c>
      <c r="F5" s="20" t="n">
        <v>3</v>
      </c>
      <c r="G5" s="28" t="n"/>
      <c r="H5" s="28" t="inlineStr">
        <is>
          <t>Done</t>
        </is>
      </c>
      <c r="I5" s="28" t="inlineStr">
        <is>
          <t>Toggle works end to end, no placeholder copy, reset asks first</t>
        </is>
      </c>
      <c r="J5" s="28" t="inlineStr">
        <is>
          <t>Lovable be542a6 + 5cb9811 (Oct 1): notification-toggle.ts, reset-confirmation.ts, Settings.tsx · tests/settings-handoff.test.ts (18) · in the published web build 48b7a74</t>
        </is>
      </c>
      <c r="K5" s="28" t="inlineStr">
        <is>
          <t>Notifications in Settings is now a real switch: it asks for permission the first time, then opens iPhone Settings, because iOS requires the change to be made there. The 'Coming soon' download rows are gone and Reset everything always asks before erasing. Live in the web app; not yet tried on a real iPhone.</t>
        </is>
      </c>
    </row>
    <row r="6" ht="76.5" customFormat="1" customHeight="1" s="5">
      <c r="A6" s="21" t="inlineStr">
        <is>
          <t>M1-02</t>
        </is>
      </c>
      <c r="B6" s="29" t="inlineStr">
        <is>
          <t>V1.2 M1</t>
        </is>
      </c>
      <c r="C6" s="29" t="inlineStr">
        <is>
          <t>Week 4</t>
        </is>
      </c>
      <c r="D6" s="29" t="inlineStr">
        <is>
          <t>Settings as collapsible (accordion) sections</t>
        </is>
      </c>
      <c r="E6" s="29" t="inlineStr">
        <is>
          <t>Web</t>
        </is>
      </c>
      <c r="F6" s="22" t="n">
        <v>3</v>
      </c>
      <c r="G6" s="29" t="n"/>
      <c r="H6" s="29" t="inlineStr">
        <is>
          <t>Done</t>
        </is>
      </c>
      <c r="I6" s="29" t="inlineStr">
        <is>
          <t>Every Settings section opens/closes</t>
        </is>
      </c>
      <c r="J6" s="29" t="inlineStr">
        <is>
          <t>Lovable e05c527 (Oct 1) and 00ca8f2 (Oct 2: every section starts closed) · settings-accordion.ts · tests/m1-06.test.ts · in the published web build 48b7a74</t>
        </is>
      </c>
      <c r="K6" s="29" t="inlineStr">
        <is>
          <t>Each Settings section opens and closes from its heading. Following the Oct 2 feedback, every section starts closed, so Settings opens as a short list of headings. Not yet tried on a real iPhone (including VoiceOver).</t>
        </is>
      </c>
    </row>
    <row r="7" ht="105.5" customFormat="1" customHeight="1" s="5">
      <c r="A7" s="19" t="inlineStr">
        <is>
          <t>M1-03</t>
        </is>
      </c>
      <c r="B7" s="28" t="inlineStr">
        <is>
          <t>V1.2 M1</t>
        </is>
      </c>
      <c r="C7" s="28" t="inlineStr">
        <is>
          <t>Week 4</t>
        </is>
      </c>
      <c r="D7" s="28" t="inlineStr">
        <is>
          <t>Smooth signature strokes (Bézier curves)</t>
        </is>
      </c>
      <c r="E7" s="28" t="inlineStr">
        <is>
          <t>Web</t>
        </is>
      </c>
      <c r="F7" s="20" t="n">
        <v>3</v>
      </c>
      <c r="G7" s="28" t="n"/>
      <c r="H7" s="28" t="inlineStr">
        <is>
          <t>Done</t>
        </is>
      </c>
      <c r="I7" s="28" t="inlineStr">
        <is>
          <t>Signature pad draws smooth curves on iPhone</t>
        </is>
      </c>
      <c r="J7" s="28" t="inlineStr">
        <is>
          <t>Lovable e05c527 (Oct 1): signature-path.ts (quadratic Bézier curves, jitter filter), SignatureCanvas.tsx with coalesced pointer events · 7 tests · the landscape pad reuses it · in the published web build 48b7a74</t>
        </is>
      </c>
      <c r="K7" s="28" t="inlineStr">
        <is>
          <t>Signatures are drawn as smooth curves instead of short straight lines, and tiny hand tremors are ignored. The landscape signing pad uses the same drawing. The feel on a real iPhone still needs a quick check.</t>
        </is>
      </c>
    </row>
    <row r="8" ht="76.5" customFormat="1" customHeight="1" s="5">
      <c r="A8" s="21" t="inlineStr">
        <is>
          <t>M1-04</t>
        </is>
      </c>
      <c r="B8" s="29" t="inlineStr">
        <is>
          <t>V1.2 M1</t>
        </is>
      </c>
      <c r="C8" s="29" t="inlineStr">
        <is>
          <t>Week 4</t>
        </is>
      </c>
      <c r="D8" s="29" t="inlineStr">
        <is>
          <t>Pull-to-refresh on Home, History and Contract</t>
        </is>
      </c>
      <c r="E8" s="29" t="inlineStr">
        <is>
          <t>Web</t>
        </is>
      </c>
      <c r="F8" s="22" t="n">
        <v>3.5</v>
      </c>
      <c r="G8" s="29" t="n"/>
      <c r="H8" s="29" t="inlineStr">
        <is>
          <t>Done</t>
        </is>
      </c>
      <c r="I8" s="29" t="inlineStr">
        <is>
          <t>Pull refreshes data on all three screens without losing form input</t>
        </is>
      </c>
      <c r="J8" s="29" t="inlineStr">
        <is>
          <t>Lovable e05c527 (Oct 1): PullToRefresh.tsx, pull-to-refresh.ts, screen-refresh.ts on Home, History and Contract · 8 tests · in the published web build 48b7a74</t>
        </is>
      </c>
      <c r="K8" s="29" t="inlineStr">
        <is>
          <t>Pulling down at the top of Home, History or Contract reloads the latest data, and each screen also has a small Refresh button. On Contract the pull switches off once you start filling in the form, so a draft is never lost. Not yet tried on a real iPhone.</t>
        </is>
      </c>
    </row>
    <row r="9" ht="221.5" customFormat="1" customHeight="1" s="5">
      <c r="A9" s="19" t="inlineStr">
        <is>
          <t>M1-05</t>
        </is>
      </c>
      <c r="B9" s="28" t="inlineStr">
        <is>
          <t>V1.2 M1</t>
        </is>
      </c>
      <c r="C9" s="28" t="inlineStr">
        <is>
          <t>Week 4</t>
        </is>
      </c>
      <c r="D9" s="28" t="inlineStr">
        <is>
          <t>HealthKit source choice with Apple Watch preferred, plus fallback</t>
        </is>
      </c>
      <c r="E9" s="28" t="inlineStr">
        <is>
          <t>Native + Web</t>
        </is>
      </c>
      <c r="F9" s="20" t="n">
        <v>8.5</v>
      </c>
      <c r="G9" s="28" t="n"/>
      <c r="H9" s="28" t="inlineStr">
        <is>
          <t>In progress</t>
        </is>
      </c>
      <c r="I9" s="28" t="inlineStr">
        <is>
          <t>Source chosen in Settings; Watch preferred; sensible fallback when the source has no data</t>
        </is>
      </c>
      <c r="J9" s="28" t="inlineStr">
        <is>
          <t>Native c825a76 (Oct 3): HealthSourcePreference.swift (Apple Watch, then iPhone, then other watches), source filter in HealthKitService.swift, GET_HEALTH_SOURCES / SET_HEALTH_SOURCE_PREFERENCE, 7 tests · web ffe239b (Oct 1): Settings › Health source picker and Home source label, 12 tests, published in 48b7a74 · gaps: no fallback on a day the chosen source recorded nothing; a Watch no longer worn stays the automatic choice; a Garmin ranks below the iPhone; no 'accuracy may vary' note</t>
        </is>
      </c>
      <c r="K9" s="28" t="inlineStr">
        <is>
          <t>Settings › Health now has a 'Steps &amp; distance source' choice. 'Let Honoured decide' uses the Apple Watch first, then the iPhone, and Home shows which source is in use. Still open: what to count on a day the chosen source recorded nothing (for example, the Watch was not worn), whether a Garmin should come before the iPhone, and the 'accuracy may vary' note for iPhone-only users (Open Items #17, #18).</t>
        </is>
      </c>
    </row>
    <row r="10" ht="149" customFormat="1" customHeight="1" s="5">
      <c r="A10" s="21" t="inlineStr">
        <is>
          <t>M1-06</t>
        </is>
      </c>
      <c r="B10" s="29" t="inlineStr">
        <is>
          <t>V1.2 M1</t>
        </is>
      </c>
      <c r="C10" s="29" t="inlineStr">
        <is>
          <t>Week 4</t>
        </is>
      </c>
      <c r="D10" s="29" t="inlineStr">
        <is>
          <t>Test and bug fixes</t>
        </is>
      </c>
      <c r="E10" s="29" t="inlineStr">
        <is>
          <t>QA</t>
        </is>
      </c>
      <c r="F10" s="22" t="n">
        <v>5</v>
      </c>
      <c r="G10" s="29" t="n"/>
      <c r="H10" s="29" t="inlineStr">
        <is>
          <t>In progress</t>
        </is>
      </c>
      <c r="I10" s="29" t="inlineStr">
        <is>
          <t>No known blocker defects; device check of the source choice</t>
        </is>
      </c>
      <c r="J10" s="29" t="inlineStr">
        <is>
          <t>Web suites passed at every step (573/573 at Lovable 774afec) · native 173 committed tests pass (188/188 with the Word Tracker, Oct 10) · fixes filed under M1: Apple account preservation (Lovable e6e07b5) and sign-in restore after a cold start (c825a76) · no real-iPhone check recorded; no Apple Watch data has reached Honoured yet</t>
        </is>
      </c>
      <c r="K10" s="29" t="inlineStr">
        <is>
          <t>Automated tests pass for the web app and the iPhone app, and two sign-in fixes were made along the way. Still to do: a check on a real iPhone with an Apple Watch (and with a Garmin), and finding out why general Health data stopped reaching the server on Oct 7 (Open Item #20).</t>
        </is>
      </c>
    </row>
    <row r="11" ht="105.5" customFormat="1" customHeight="1" s="5">
      <c r="A11" s="19" t="inlineStr">
        <is>
          <t>M2-01</t>
        </is>
      </c>
      <c r="B11" s="28" t="inlineStr">
        <is>
          <t>V1.2 M2</t>
        </is>
      </c>
      <c r="C11" s="28" t="inlineStr">
        <is>
          <t>Week 4</t>
        </is>
      </c>
      <c r="D11" s="28" t="inlineStr">
        <is>
          <t>Icon row on Contract (unset/set), status pill, Standing Contract retired (existing ones run to expiry)</t>
        </is>
      </c>
      <c r="E11" s="28" t="inlineStr">
        <is>
          <t>Web</t>
        </is>
      </c>
      <c r="F11" s="20" t="n">
        <v>4</v>
      </c>
      <c r="G11" s="28" t="n"/>
      <c r="H11" s="28" t="inlineStr">
        <is>
          <t>Done</t>
        </is>
      </c>
      <c r="I11" s="28" t="inlineStr">
        <is>
          <t>The Icon row and ICON · UNSIGNED pill show on Contract, Standing Contract is no longer offered and existing Standing contracts keep running</t>
        </is>
      </c>
      <c r="J11" s="28" t="inlineStr">
        <is>
          <t>Lovable 38b9a0a, be9e867, 4b88e38 (Oct 1, renamed to Icon), 86362c3 + 8e6ac11 (Oct 5–6, Icon symbol), 1aa3e69 (Oct 7, badges) · IconRow.tsx, icon.ts · tests/icon.test.ts · in the published web build 48b7a74</t>
        </is>
      </c>
      <c r="K11" s="28" t="inlineStr">
        <is>
          <t>Live: the Contract page has the Icon row ('Become an Icon (for multi-day goals)', then a gold days and period summary) and the ICON · UNSIGNED pill, and Standing Contract is no longer offered. The Oath was renamed Icon at the client's request (Oct 1); the symbol and badge sizes follow the Oct 5–7 requests. A signed daily contract still shows the old 'Standing Contract' heading (Open Item #21).</t>
        </is>
      </c>
    </row>
    <row r="12" ht="105.5" customFormat="1" customHeight="1" s="5">
      <c r="A12" s="21" t="inlineStr">
        <is>
          <t>M2-02</t>
        </is>
      </c>
      <c r="B12" s="29" t="inlineStr">
        <is>
          <t>V1.2 M2</t>
        </is>
      </c>
      <c r="C12" s="29" t="inlineStr">
        <is>
          <t>Week 4</t>
        </is>
      </c>
      <c r="D12" s="29" t="inlineStr">
        <is>
          <t>Icon sheet: 7-day picker, duration quick picks + custom (2 days–1 year), morning/evening reminders, live session count, Remove, swipe to dismiss</t>
        </is>
      </c>
      <c r="E12" s="29" t="inlineStr">
        <is>
          <t>Web</t>
        </is>
      </c>
      <c r="F12" s="22" t="n">
        <v>7.5</v>
      </c>
      <c r="G12" s="29" t="n"/>
      <c r="H12" s="29" t="inlineStr">
        <is>
          <t>Done</t>
        </is>
      </c>
      <c r="I12" s="29" t="inlineStr">
        <is>
          <t>The sheet sets days, period and reminders, always shows the session count, and Remove, Cancel and swipe down behave</t>
        </is>
      </c>
      <c r="J12" s="29" t="inlineStr">
        <is>
          <t>Lovable 4b88e38 and 6018a22 (Oct 1), 670c452 (reminder rule): IconSheet in IconRow.tsx, countSessions / periodEnd / validateCustomDays in icon.ts · Icon tests · in the published web build 48b7a74</t>
        </is>
      </c>
      <c r="K12" s="29" t="inlineStr">
        <is>
          <t>The Icon sheet is complete and published: seven day buttons, 1 Week to 1 Year quick picks (1 Month by default) or a custom 2-day to 1-year length, morning and evening reminders, and the always-visible 'You are committing to N sessions' count. Remove Icon clears it; Cancel, a tap outside or a swipe down on the grab handle close it. The swipe starts only on the small grab handle, so its feel on a real iPhone, and VoiceOver, are checked in M2-13.</t>
        </is>
      </c>
    </row>
    <row r="13" ht="120" customFormat="1" customHeight="1" s="5">
      <c r="A13" s="19" t="inlineStr">
        <is>
          <t>M2-03</t>
        </is>
      </c>
      <c r="B13" s="28" t="inlineStr">
        <is>
          <t>V1.2 M2</t>
        </is>
      </c>
      <c r="C13" s="28" t="inlineStr">
        <is>
          <t>Week 4</t>
        </is>
      </c>
      <c r="D13" s="28" t="inlineStr">
        <is>
          <t>Per-day deadline, terms locked after signing, early exit = AMENDED, list of running Icons</t>
        </is>
      </c>
      <c r="E13" s="28" t="inlineStr">
        <is>
          <t>Web + Supabase</t>
        </is>
      </c>
      <c r="F13" s="20" t="n">
        <v>4</v>
      </c>
      <c r="G13" s="28" t="n"/>
      <c r="H13" s="28" t="inlineStr">
        <is>
          <t>Done</t>
        </is>
      </c>
      <c r="I13" s="28" t="inlineStr">
        <is>
          <t>Deadline is a daily cut-off, terms lock at signing, End early marks the remaining sessions AMENDED, running Icons are listed</t>
        </is>
      </c>
      <c r="J13" s="28" t="inlineStr">
        <is>
          <t>Lovable 310b3d7 (Oct 1), cfe2edf (Oct 2, 00:00 cut-off), c6cad1a + 0141863 (Oct 4, one Icon per day), 1aa3e69 (Oct 7) · production triggers contracts_icon_guard / contracts_icon_days / contracts_icon_reserve · no AMENDED day in production yet</t>
        </is>
      </c>
      <c r="K13" s="28" t="inlineStr">
        <is>
          <t>With an Icon set, Deadline becomes a daily cut-off time (00:00 means the end of each Icon day). After signing, the database keeps days, period and target locked, 'End early' marks the remaining sessions AMENDED, and running Icons are listed on the Contract tab and on Home. At the client's request a day held by an Icon accepts no other contract (Oct 4), and Home no longer offers 'Sign a contract' while one is in force (Oct 7).</t>
        </is>
      </c>
    </row>
    <row r="14" ht="149" customFormat="1" customHeight="1" s="5">
      <c r="A14" s="21" t="inlineStr">
        <is>
          <t>M2-04</t>
        </is>
      </c>
      <c r="B14" s="29" t="inlineStr">
        <is>
          <t>V1.2 M2</t>
        </is>
      </c>
      <c r="C14" s="29" t="inlineStr">
        <is>
          <t>Week 4</t>
        </is>
      </c>
      <c r="D14" s="29" t="inlineStr">
        <is>
          <t>Supabase: Icon schedule, daily results, reminder times, timezone, RLS, web sync</t>
        </is>
      </c>
      <c r="E14" s="29" t="inlineStr">
        <is>
          <t>Supabase</t>
        </is>
      </c>
      <c r="F14" s="22" t="n">
        <v>4.5</v>
      </c>
      <c r="G14" s="29" t="n"/>
      <c r="H14" s="29" t="inlineStr">
        <is>
          <t>Done</t>
        </is>
      </c>
      <c r="I14" s="29" t="inlineStr">
        <is>
          <t>Production stores each Icon's terms, time zone and reminders, one result row per scheduled day, each person reads only their own data, and the web syncs both</t>
        </is>
      </c>
      <c r="J14" s="29" t="inlineStr">
        <is>
          <t>Production (checked Oct 10): icon_* columns on contracts, icon_days, Icon triggers and icon_schedule(), row-level security (own rows only; results written by the server) · web sync in contract-sync.ts and icon-days.ts (Lovable 310b3d7, 94615a0) · applied directly on Oct 1; the setup script is not saved in a repository</t>
        </is>
      </c>
      <c r="K14" s="29" t="inlineStr">
        <is>
          <t>The Icon database is live: each Icon contract stores its days, period, daily cut-off, time zone, reminder times and Health target, and every scheduled day has its own result row. Each person can read only their own Icon data, and results are written only by the server. The setup script still needs saving with the project files (Open Item #22).</t>
        </is>
      </c>
    </row>
    <row r="15" ht="120" customFormat="1" customHeight="1" s="5">
      <c r="A15" s="19" t="inlineStr">
        <is>
          <t>M2-05</t>
        </is>
      </c>
      <c r="B15" s="28" t="inlineStr">
        <is>
          <t>V1.2 M2</t>
        </is>
      </c>
      <c r="C15" s="28" t="inlineStr">
        <is>
          <t>Week 4</t>
        </is>
      </c>
      <c r="D15" s="28" t="inlineStr">
        <is>
          <t>Scoring: HONOURED once synced Health data meets the target, BROKEN after the deadline from full-day data, pending &gt; 24 h → BROKEN, no-permission handling</t>
        </is>
      </c>
      <c r="E15" s="28" t="inlineStr">
        <is>
          <t>Supabase + iOS</t>
        </is>
      </c>
      <c r="F15" s="20" t="n">
        <v>8</v>
      </c>
      <c r="G15" s="28" t="n"/>
      <c r="H15" s="28" t="inlineStr">
        <is>
          <t>Done</t>
        </is>
      </c>
      <c r="I15" s="28" t="inlineStr">
        <is>
          <t>HONOURED as soon as the target is met, BROKEN from a full-day reading, BROKEN (no data) 24 h after the cut-off; a declined permission never scores as zero</t>
        </is>
      </c>
      <c r="J15" s="28" t="inlineStr">
        <is>
          <t>Native c825a76 (Oct 3): IconVerifier.swift, IconMeasurement.swift (8 tests) · production: record_icon_measurements(), expire_icon_days(), cron icon-days-expire every 15 min (875 runs, none failed) · real Icon days already stamped HONOURED and BROKEN from Health readings</t>
        </is>
      </c>
      <c r="K15" s="28" t="inlineStr">
        <is>
          <t>Live in production. A measured Icon day is stamped HONOURED as soon as the target is met, BROKEN once the full day has been read after the cut-off, and BROKEN (no data) 24 hours after the cut-off if nothing was reported, so a missing Health permission never counts as zero. HONOURED and BROKEN from Health readings have already happened on real days.</t>
        </is>
      </c>
    </row>
    <row r="16" ht="120" customFormat="1" customHeight="1" s="5">
      <c r="A16" s="21" t="inlineStr">
        <is>
          <t>M2-06</t>
        </is>
      </c>
      <c r="B16" s="29" t="inlineStr">
        <is>
          <t>V1.2 M2</t>
        </is>
      </c>
      <c r="C16" s="29" t="inlineStr">
        <is>
          <t>Week 4</t>
        </is>
      </c>
      <c r="D16" s="29" t="inlineStr">
        <is>
          <t>Push infrastructure: capability, device + push-to-start token registration via the bridge, stored per account, removed on sign-out</t>
        </is>
      </c>
      <c r="E16" s="29" t="inlineStr">
        <is>
          <t>iOS + Supabase</t>
        </is>
      </c>
      <c r="F16" s="22" t="n">
        <v>5</v>
      </c>
      <c r="G16" s="29" t="n"/>
      <c r="H16" s="29" t="inlineStr">
        <is>
          <t>Done</t>
        </is>
      </c>
      <c r="I16" s="29" t="inlineStr">
        <is>
          <t>The app registers its device, push-to-start and card tokens for the signed-in account, and sign-out or an account switch removes them</t>
        </is>
      </c>
      <c r="J16" s="29" t="inlineStr">
        <is>
          <t>Native 9fd8622 (Oct 4): PushTokenRegistry.swift, PushTokenSupport.swift (6 tests), aps-environment entitlement · production: register_push_token / unregister_push_tokens, push_tokens with row-level security · one real iPhone registered since Oct 6</t>
        </is>
      </c>
      <c r="K16" s="29" t="inlineStr">
        <is>
          <t>The app registers its notification, push-to-start and card tokens for the signed-in account and removes them when the person signs out or switches account. A real iPhone has been registered since Oct 6. Removal on sign-out still needs a check on the phone (M2-13).</t>
        </is>
      </c>
    </row>
    <row r="17" ht="134.5" customFormat="1" customHeight="1" s="5">
      <c r="A17" s="19" t="inlineStr">
        <is>
          <t>M2-07</t>
        </is>
      </c>
      <c r="B17" s="28" t="inlineStr">
        <is>
          <t>V1.2 M2</t>
        </is>
      </c>
      <c r="C17" s="28" t="inlineStr">
        <is>
          <t>Week 4</t>
        </is>
      </c>
      <c r="D17" s="28" t="inlineStr">
        <is>
          <t>Scheduled job: pg_cron + server code for reminder times per timezone, APNs JWT, push-to-start or regular push, de-duplication, sandbox/production</t>
        </is>
      </c>
      <c r="E17" s="28" t="inlineStr">
        <is>
          <t>Supabase</t>
        </is>
      </c>
      <c r="F17" s="20" t="n">
        <v>7.5</v>
      </c>
      <c r="G17" s="28" t="n"/>
      <c r="H17" s="28" t="inlineStr">
        <is>
          <t>Done</t>
        </is>
      </c>
      <c r="I17" s="28" t="inlineStr">
        <is>
          <t>A server job sends each Icon day's morning, evening, result and closing pushes at the person's local times, once each, through the right APNs gateway</t>
        </is>
      </c>
      <c r="J17" s="28" t="inlineStr">
        <is>
          <t>Production: cron icon-push every minute since Oct 4 (about 9,000 runs, one failure that recovered the next minute), icon_push_jobs / icon_push_plan / icon_push_tick · APNs signing-token route (Lovable b5b087d) · Apple accepted 3 morning cards, 2 renewals, 2 HONOURED updates and 2 closes on Oct 6–9</t>
        </is>
      </c>
      <c r="K17" s="28" t="inlineStr">
        <is>
          <t>A server job runs every minute and sends each Icon day's pushes at the person's local reminder times, once each, through Apple's production or sandbox service as the phone needs. Apple has accepted every card push since Oct 6 except one close on Oct 8, whose card token had expired; that token was removed automatically. Push is set up for the test App ID; the client's App ID and APNs key are needed before the client release (Open Item #14).</t>
        </is>
      </c>
    </row>
    <row r="18" ht="149" customFormat="1" customHeight="1" s="5">
      <c r="A18" s="21" t="inlineStr">
        <is>
          <t>M2-08</t>
        </is>
      </c>
      <c r="B18" s="29" t="inlineStr">
        <is>
          <t>V1.2 M2</t>
        </is>
      </c>
      <c r="C18" s="29" t="inlineStr">
        <is>
          <t>Week 4</t>
        </is>
      </c>
      <c r="D18" s="29" t="inlineStr">
        <is>
          <t>Icon card UI: new Live Activity type, shared morning/evening layout, result states, simple Dynamic Island, cached signature, Lock Screen height</t>
        </is>
      </c>
      <c r="E18" s="29" t="inlineStr">
        <is>
          <t>iOS widget</t>
        </is>
      </c>
      <c r="F18" s="22" t="n">
        <v>6.5</v>
      </c>
      <c r="G18" s="29" t="n"/>
      <c r="H18" s="29" t="inlineStr">
        <is>
          <t>Done</t>
        </is>
      </c>
      <c r="I18" s="29" t="inlineStr">
        <is>
          <t>The Icon card shows on the Lock Screen and in the Dynamic Island in its morning, evening and result states, with the signature, within the Lock Screen height at large text sizes</t>
        </is>
      </c>
      <c r="J18" s="29" t="inlineStr">
        <is>
          <t>Native c825a76 (Oct 3): IconLiveActivity.swift, IconLiveActivityWidget.swift, IconLiveActivityViews.swift, signature cache · e888fb6 (Oct 4) · 59cf9ea (Oct 5, the day's Health total in the island) · IconLiveActivityTests (12), IconSignatureImageTests (5) · cards started on a real iPhone Oct 6–9; no screenshot yet</t>
        </is>
      </c>
      <c r="K18" s="29" t="inlineStr">
        <is>
          <t>The Icon card is a new Live Activity with one layout for morning (the day's affirmation) and evening ('Finish what you signed.'). It has HONOURED and BROKEN result styles, the signature from the signed Icon, and a simple Dynamic Island showing the mark and the day's Health total (client request, Oct 5). Layout tests keep every state inside the Lock Screen height at large text sizes; a visual check on a real iPhone is part of M2-13.</t>
        </is>
      </c>
    </row>
    <row r="19" ht="120" customFormat="1" customHeight="1" s="5">
      <c r="A19" s="19" t="inlineStr">
        <is>
          <t>M2-09</t>
        </is>
      </c>
      <c r="B19" s="28" t="inlineStr">
        <is>
          <t>V1.2 M2</t>
        </is>
      </c>
      <c r="C19" s="28" t="inlineStr">
        <is>
          <t>Week 4</t>
        </is>
      </c>
      <c r="D19" s="28" t="inlineStr">
        <is>
          <t>Card lifecycle: HONOURED on the card when the target is met; card closes at the deadline</t>
        </is>
      </c>
      <c r="E19" s="28" t="inlineStr">
        <is>
          <t>iOS</t>
        </is>
      </c>
      <c r="F19" s="20" t="n">
        <v>2.5</v>
      </c>
      <c r="G19" s="28" t="n"/>
      <c r="H19" s="28" t="inlineStr">
        <is>
          <t>Done</t>
        </is>
      </c>
      <c r="I19" s="28" t="inlineStr">
        <is>
          <t>The card shows HONOURED once the day is met and closes at the cut-off, also when the app is not running</t>
        </is>
      </c>
      <c r="J19" s="28" t="inlineStr">
        <is>
          <t>Native c825a76, 9fd8622 (fresh evening card), 59cf9ea, 25dddf3 (renewal before 8 h) · IconCardPlanTests (31) · server result, close and renewal pushes accepted Oct 6–9; full cycle on Oct 9 · on Oct 8 the close at the cut-off failed (expired card token after a renewal)</t>
        </is>
      </c>
      <c r="K19" s="28" t="inlineStr">
        <is>
          <t>The card switches to HONOURED as soon as the day is met and closes at the cut-off, whether or not the app is open; the full cycle ran on a real iPhone on Oct 9. Because iOS ends a card after 8 hours, the evening reminder opens a fresh card and an older card is renewed before it runs out (client request, Oct 6). On Oct 8 the server could not close a renewed card at the cut-off; this is being checked in M2-13.</t>
        </is>
      </c>
    </row>
    <row r="20" ht="134.5" customFormat="1" customHeight="1" s="5">
      <c r="A20" s="21" t="inlineStr">
        <is>
          <t>M2-10</t>
        </is>
      </c>
      <c r="B20" s="29" t="inlineStr">
        <is>
          <t>V1.2 M2</t>
        </is>
      </c>
      <c r="C20" s="29" t="inlineStr">
        <is>
          <t>Week 4</t>
        </is>
      </c>
      <c r="D20" s="29" t="inlineStr">
        <is>
          <t>Daily rotating affirmations; regular-push fallback (iOS &lt; 17.2 or Live Activities off); Icon days only</t>
        </is>
      </c>
      <c r="E20" s="29" t="inlineStr">
        <is>
          <t>iOS + Supabase</t>
        </is>
      </c>
      <c r="F20" s="22" t="n">
        <v>3</v>
      </c>
      <c r="G20" s="29" t="n"/>
      <c r="H20" s="29" t="inlineStr">
        <is>
          <t>Done</t>
        </is>
      </c>
      <c r="I20" s="29" t="inlineStr">
        <is>
          <t>Each Icon day opens with the next affirmation; without push-to-start or with Live Activities off a regular notification is sent; only scheduled Icon days get anything</t>
        </is>
      </c>
      <c r="J20" s="29" t="inlineStr">
        <is>
          <t>IconCopy.affirmations (7 lines) in the app and icon_copy_affirmation() on the server · client approval recorded in 84bd852 (Oct 4) · icon_push_plan sends a quiet alert when there is no push-to-start token or Live Activities are off · no alert sent yet; no automated test of the alert path</t>
        </is>
      </c>
      <c r="K20" s="29" t="inlineStr">
        <is>
          <t>Seven affirmations rotate one per Icon day (approved by the client on Oct 4), and the server uses the same list. Phones below iOS 17.2 or with Live Activities off get a quiet regular notification instead, and only scheduled Icon days get anything. The fallback has not yet been tried on a phone.</t>
        </is>
      </c>
    </row>
    <row r="21" ht="105.5" customFormat="1" customHeight="1" s="5">
      <c r="A21" s="19" t="inlineStr">
        <is>
          <t>M2-11</t>
        </is>
      </c>
      <c r="B21" s="28" t="inlineStr">
        <is>
          <t>V1.2 M2</t>
        </is>
      </c>
      <c r="C21" s="28" t="inlineStr">
        <is>
          <t>Week 4</t>
        </is>
      </c>
      <c r="D21" s="28" t="inlineStr">
        <is>
          <t>Settings: edit reminder times after signing (days, duration, target stay locked)</t>
        </is>
      </c>
      <c r="E21" s="28" t="inlineStr">
        <is>
          <t>Web + Supabase</t>
        </is>
      </c>
      <c r="F21" s="20" t="n">
        <v>2</v>
      </c>
      <c r="G21" s="28" t="n"/>
      <c r="H21" s="28" t="inlineStr">
        <is>
          <t>Done</t>
        </is>
      </c>
      <c r="I21" s="28" t="inlineStr">
        <is>
          <t>Reminder times can be changed or switched off after signing; days, period and target stay locked; the change applies to the days ahead</t>
        </is>
      </c>
      <c r="J21" s="28" t="inlineStr">
        <is>
          <t>Lovable 310b3d7 (Oct 1), 670c452, 44f8c6c (Oct 4: evening within 8 h before the cut-off; tests/icon-evening-window.test.ts) · trigger contracts_icon_days recomputes reminders for the days ahead · a real change on Oct 6 applied correctly</t>
        </is>
      </c>
      <c r="K21" s="28" t="inlineStr">
        <is>
          <t>Settings has an 'Icon reminders' section where each running Icon's morning and evening times can be changed or switched off; days, period and target stay locked. Changes apply to the Icon days still ahead and follow the agreed rules (morning before 12:00, evening within 8 hours before the cut-off).</t>
        </is>
      </c>
    </row>
    <row r="22" ht="91" customFormat="1" customHeight="1" s="5">
      <c r="A22" s="21" t="inlineStr">
        <is>
          <t>M2-12</t>
        </is>
      </c>
      <c r="B22" s="29" t="inlineStr">
        <is>
          <t>V1.2 M2</t>
        </is>
      </c>
      <c r="C22" s="29" t="inlineStr">
        <is>
          <t>Week 4</t>
        </is>
      </c>
      <c r="D22" s="29" t="inlineStr">
        <is>
          <t>Weekly/monthly recap with copy by result rate</t>
        </is>
      </c>
      <c r="E22" s="29" t="inlineStr">
        <is>
          <t>Web</t>
        </is>
      </c>
      <c r="F22" s="22" t="n">
        <v>3</v>
      </c>
      <c r="G22" s="29" t="n"/>
      <c r="H22" s="29" t="inlineStr">
        <is>
          <t>Done</t>
        </is>
      </c>
      <c r="I22" s="29" t="inlineStr">
        <is>
          <t>After a full week or month with stamped Icon days, Home shows a recap with Honoured, Amended and Broken totals and copy chosen by the result ratio</t>
        </is>
      </c>
      <c r="J22" s="29" t="inlineStr">
        <is>
          <t>Lovable 214b2e0 + 0265a63 (Oct 4): icon-recap.ts, IconMoment.tsx · tests/icon-recap.test.ts, icon-close.test.ts · wording approved by the client on Oct 4 · in the published web build 48b7a74</t>
        </is>
      </c>
      <c r="K22" s="29" t="inlineStr">
        <is>
          <t>After each full week (Monday to Sunday) and calendar month, Home shows a one-time recap with Honoured, Amended and Broken totals and the approved wording for strong and hard weeks. A finished Icon gets an 'Icon complete' summary with 'Go again' to sign a fresh one.</t>
        </is>
      </c>
    </row>
    <row r="23" ht="149" customFormat="1" customHeight="1" s="5">
      <c r="A23" s="19" t="inlineStr">
        <is>
          <t>M2-13</t>
        </is>
      </c>
      <c r="B23" s="28" t="inlineStr">
        <is>
          <t>V1.2 M2</t>
        </is>
      </c>
      <c r="C23" s="28" t="inlineStr">
        <is>
          <t>Week 6</t>
        </is>
      </c>
      <c r="D23" s="28" t="inlineStr">
        <is>
          <t>Real-device testing and edge cases (timezone, DST, reinstall, account switch, Live Activities off), polish</t>
        </is>
      </c>
      <c r="E23" s="28" t="inlineStr">
        <is>
          <t>All</t>
        </is>
      </c>
      <c r="F23" s="20" t="n">
        <v>6.5</v>
      </c>
      <c r="G23" s="28" t="n"/>
      <c r="H23" s="28" t="inlineStr">
        <is>
          <t>In progress</t>
        </is>
      </c>
      <c r="I23" s="28" t="inlineStr">
        <is>
          <t>On a real iPhone: morning and evening cards, HONOURED and close at the cut-off, the fallback notification, sign-out / account switch / reinstall, a time-zone change and long text on the Lock Screen, with no blocker defects</t>
        </is>
      </c>
      <c r="J23" s="28" t="inlineStr">
        <is>
          <t>One real iPhone, Oct 6–9: morning cards, HONOURED updates, renewals and closes accepted by Apple · a test Icon kept its local times through the Oct 4 daylight-saving change · not yet run: evening card, fallback notification, sign-out / account switch / reinstall, a time-zone change · no device test record or screenshot</t>
        </is>
      </c>
      <c r="K23" s="28" t="inlineStr">
        <is>
          <t>A real iPhone has received the Icon card from the server since Oct 6 (morning cards, HONOURED updates, renewals and closes), and a test Icon kept its local reminder and cut-off times through a daylight-saving change. Still to check on the phone: the evening card, the fallback notification with Live Activities off, sign-out / account switch / reinstall, a time-zone change, long text on the Lock Screen, and why the renewed card was not closed on Oct 8 (Open Item #19).</t>
        </is>
      </c>
    </row>
    <row r="24" ht="134.5" customFormat="1" customHeight="1" s="5">
      <c r="A24" s="21" t="inlineStr">
        <is>
          <t>M3-01</t>
        </is>
      </c>
      <c r="B24" s="29" t="inlineStr">
        <is>
          <t>V1.2 M3</t>
        </is>
      </c>
      <c r="C24" s="29" t="inlineStr">
        <is>
          <t>Week 5</t>
        </is>
      </c>
      <c r="D24" s="29" t="inlineStr">
        <is>
          <t>Format spike and fixtures (Word, TextEdit, Scrivener 3; Pages note)</t>
        </is>
      </c>
      <c r="E24" s="29" t="inlineStr">
        <is>
          <t>Native</t>
        </is>
      </c>
      <c r="F24" s="22" t="n">
        <v>3.5</v>
      </c>
      <c r="G24" s="29" t="n"/>
      <c r="H24" s="29" t="inlineStr">
        <is>
          <t>In progress</t>
        </is>
      </c>
      <c r="I24" s="29" t="inlineStr">
        <is>
          <t>Fixtures for every format; Scrivener package access proven on a real iPhone (Gate A)</t>
        </is>
      </c>
      <c r="J24" s="29" t="inlineStr">
        <is>
          <t>Fixtures in all five formats (WordTrackerCoreTests) and real files picked through the Files picker on the simulator (Oct 10) · written findings and Pages feasibility note: 'Word Tracker Technical Findings' (Oct 11, with sources) · counting rules: 'Word Tracker Counting Rules' (Oct 10) · Gate A (a Scrivener project opened from Dropbox on a real iPhone) not run</t>
        </is>
      </c>
      <c r="K24" s="29" t="inlineStr">
        <is>
          <t>The file-format rules are settled and written up for the client, together with the Pages note: Pages counts look achievable on the iPhone, but Apple does not publish the format, so an adapter would need retesting after Pages updates. Still to do: open a real Scrivener project from Dropbox on an iPhone (Gate A).</t>
        </is>
      </c>
    </row>
    <row r="25" ht="163.5" customFormat="1" customHeight="1" s="5">
      <c r="A25" s="19" t="inlineStr">
        <is>
          <t>M3-02</t>
        </is>
      </c>
      <c r="B25" s="28" t="inlineStr">
        <is>
          <t>V1.2 M3</t>
        </is>
      </c>
      <c r="C25" s="28" t="inlineStr">
        <is>
          <t>Week 5</t>
        </is>
      </c>
      <c r="D25" s="28" t="inlineStr">
        <is>
          <t>Document picker, security-scoped bookmarks, account isolation</t>
        </is>
      </c>
      <c r="E25" s="28" t="inlineStr">
        <is>
          <t>Native</t>
        </is>
      </c>
      <c r="F25" s="20" t="n">
        <v>4</v>
      </c>
      <c r="G25" s="28" t="n"/>
      <c r="H25" s="28" t="inlineStr">
        <is>
          <t>Done</t>
        </is>
      </c>
      <c r="I25" s="28" t="inlineStr">
        <is>
          <t>Pick once, reopen after relaunch/rename/move; another account never reads it</t>
        </is>
      </c>
      <c r="J25" s="28" t="inlineStr">
        <is>
          <t>On main since Oct 10 (merge 1e18ab4) · simulator, Oct 10–11, real Files picker: rename, move, edit and relaunch keep the source; another account never sees it; a file in Recently Deleted counts as missing until recovered (ef13e5d) · scenarios word-tracker, word-tracker-check and word-tracker-delete (5cc53bd)</t>
        </is>
      </c>
      <c r="K25" s="28" t="inlineStr">
        <is>
          <t>Choosing one document or project, remembering it securely on the phone and keeping each account's sources apart work on the simulator, including renamed, moved and recovered files. A deleted file now asks the writer to reconnect instead of counting the copy in Recently Deleted. The real-iPhone check is part of M3-07.</t>
        </is>
      </c>
    </row>
    <row r="26" ht="149" customFormat="1" customHeight="1" s="5">
      <c r="A26" s="21" t="inlineStr">
        <is>
          <t>M3-03</t>
        </is>
      </c>
      <c r="B26" s="29" t="inlineStr">
        <is>
          <t>V1.2 M3</t>
        </is>
      </c>
      <c r="C26" s="29" t="inlineStr">
        <is>
          <t>Week 5</t>
        </is>
      </c>
      <c r="D26" s="29" t="inlineStr">
        <is>
          <t>Word counting core + Word, TextEdit and Scrivener adapters</t>
        </is>
      </c>
      <c r="E26" s="29" t="inlineStr">
        <is>
          <t>Native</t>
        </is>
      </c>
      <c r="F26" s="22" t="n">
        <v>10.5</v>
      </c>
      <c r="G26" s="29" t="n"/>
      <c r="H26" s="29" t="inlineStr">
        <is>
          <t>Done</t>
        </is>
      </c>
      <c r="I26" s="29" t="inlineStr">
        <is>
          <t>Same text gives the same count in every format; malformed/oversized files handled</t>
        </is>
      </c>
      <c r="J26" s="29" t="inlineStr">
        <is>
          <t>WordTrackerCoreTests 20/20, whole native suite 196/196 (Oct 11) · the same chapter counted 49 in all five formats through the picker on the simulator · each read also reports when the counted content last changed, for the grace window (f341d84)</t>
        </is>
      </c>
      <c r="K26" s="29" t="inlineStr">
        <is>
          <t>One counting rule for Word, TextEdit and Scrivener gives the same count in all five formats, also for Vietnamese, Chinese, Japanese, Hindi and Arabic text, and a damaged file returns an error instead of a wrong count. The rule is written up in 'Word Tracker Counting Rules'.</t>
        </is>
      </c>
    </row>
    <row r="27" ht="134.5" customFormat="1" customHeight="1" s="5">
      <c r="A27" s="19" t="inlineStr">
        <is>
          <t>M3-04</t>
        </is>
      </c>
      <c r="B27" s="28" t="inlineStr">
        <is>
          <t>V1.2 M3</t>
        </is>
      </c>
      <c r="C27" s="28" t="inlineStr">
        <is>
          <t>Week 5</t>
        </is>
      </c>
      <c r="D27" s="28" t="inlineStr">
        <is>
          <t>Bridge contract and reading lifecycle (incl. deadline reminder)</t>
        </is>
      </c>
      <c r="E27" s="28" t="inlineStr">
        <is>
          <t>Native + Web</t>
        </is>
      </c>
      <c r="F27" s="20" t="n">
        <v>4</v>
      </c>
      <c r="G27" s="28" t="n"/>
      <c r="H27" s="28" t="inlineStr">
        <is>
          <t>Done</t>
        </is>
      </c>
      <c r="I27" s="28" t="inlineStr">
        <is>
          <t>Reads on start/foreground/Check now; no content or paths cross the bridge</t>
        </is>
      </c>
      <c r="J27" s="28" t="inlineStr">
        <is>
          <t>Live with the published web app (Lovable b52852e Oct 10, 68d8563 Oct 11): reads on start, on return, every 10 minutes, on Check now and right after signing; Reconnect shows 'Reconnect the same source to keep this Icon.'; the phone holds a reminder 30 minutes before each pending cut-off (checked on the simulator) · bridge: only ids, kind, count, read and change times and a random revision cross (docs/phase1/bridge.md)</t>
        </is>
      </c>
      <c r="K27" s="28" t="inlineStr">
        <is>
          <t>Only counts, times and anonymous IDs pass between the app and the web page. The count is read when the app opens, when it returns, every 10 minutes, on 'Check now' and right after signing, and the phone reminds the writer 30 minutes before the cut-off.</t>
        </is>
      </c>
    </row>
    <row r="28" ht="149" customFormat="1" customHeight="1" s="5">
      <c r="A28" s="21" t="inlineStr">
        <is>
          <t>M3-05</t>
        </is>
      </c>
      <c r="B28" s="29" t="inlineStr">
        <is>
          <t>V1.2 M3</t>
        </is>
      </c>
      <c r="C28" s="29" t="inlineStr">
        <is>
          <t>Week 5</t>
        </is>
      </c>
      <c r="D28" s="29" t="inlineStr">
        <is>
          <t>Supabase schema, RPC and scoring</t>
        </is>
      </c>
      <c r="E28" s="29" t="inlineStr">
        <is>
          <t>Supabase</t>
        </is>
      </c>
      <c r="F28" s="22" t="n">
        <v>5</v>
      </c>
      <c r="G28" s="29" t="n"/>
      <c r="H28" s="29" t="inlineStr">
        <is>
          <t>Done</t>
        </is>
      </c>
      <c r="I28" s="29" t="inlineStr">
        <is>
          <t>Migration applied with RLS/grants; scoring follows the agreed rules</t>
        </is>
      </c>
      <c r="J28" s="29" t="inlineStr">
        <is>
          <t>Applied to production on Oct 10 as migration 0001_word_tracker_v1 (Lovable 488c619) · the four live functions match the tested SQL exactly (63/63 behavioural checks) · row-level security on word_source_readings, no client access · the 15-minute expiry job keeps succeeding after the change · undo script ready · Oct 10: 0002_word_baseline_window (a stored reading is the starting count only within the 24 hours before the day) · Oct 11: 0003_word_grace_window (a read up to 30 minutes after the cut-off counts when the document last changed before it; exact starting count when unchanged since midnight); both checked in the live database</t>
        </is>
      </c>
      <c r="K28" s="29" t="inlineStr">
        <is>
          <t>The database change for word Icons is live, with two follow-ups on Oct 10–11: the starting count only comes from a reading in the 24 hours before the day, and the 30-minute sync grace window from the scope. Tested across a real midnight: a read at 00:02 counted for the day before. The starting-count rule awaits the client's confirmation (Open Item #23).</t>
        </is>
      </c>
    </row>
    <row r="29" ht="134.5" customFormat="1" customHeight="1" s="5">
      <c r="A29" s="19" t="inlineStr">
        <is>
          <t>M3-06</t>
        </is>
      </c>
      <c r="B29" s="28" t="inlineStr">
        <is>
          <t>V1.2 M3</t>
        </is>
      </c>
      <c r="C29" s="28" t="inlineStr">
        <is>
          <t>Week 5</t>
        </is>
      </c>
      <c r="D29" s="28" t="inlineStr">
        <is>
          <t>Web setup and progress states</t>
        </is>
      </c>
      <c r="E29" s="28" t="inlineStr">
        <is>
          <t>Web</t>
        </is>
      </c>
      <c r="F29" s="20" t="n">
        <v>4.5</v>
      </c>
      <c r="G29" s="28" t="n"/>
      <c r="H29" s="28" t="inlineStr">
        <is>
          <t>Done</t>
        </is>
      </c>
      <c r="I29" s="28" t="inlineStr">
        <is>
          <t>A word Icon can be signed and shows start/now/net progress</t>
        </is>
      </c>
      <c r="J29" s="28" t="inlineStr">
        <is>
          <t>Published Oct 10 and 11 · simulator against the live database: signed a 100-word Icon, start 49 → +110 HONOURED, Replace before signing, Reconnect keeps the locked source id · fixes: progress shows without REFRESH, the source error clears once a source is chosen, the missing-source message names Reconnect (b52852e) · web tests 622/622 (Oct 11)</t>
        </is>
      </c>
      <c r="K29" s="28" t="inlineStr">
        <is>
          <t>Writing can be committed in words, and the Icon shows the starting count, the current count and the net words right after signing. Checked end to end on the simulator against the live database.</t>
        </is>
      </c>
    </row>
    <row r="30" ht="149" customFormat="1" customHeight="1" s="5">
      <c r="A30" s="21" t="inlineStr">
        <is>
          <t>M3-07</t>
        </is>
      </c>
      <c r="B30" s="29" t="inlineStr">
        <is>
          <t>V1.2 M3</t>
        </is>
      </c>
      <c r="C30" s="29" t="inlineStr">
        <is>
          <t>Week 6</t>
        </is>
      </c>
      <c r="D30" s="29" t="inlineStr">
        <is>
          <t>QA, privacy and polish</t>
        </is>
      </c>
      <c r="E30" s="29" t="inlineStr">
        <is>
          <t>QA</t>
        </is>
      </c>
      <c r="F30" s="22" t="n">
        <v>4.5</v>
      </c>
      <c r="G30" s="29" t="n"/>
      <c r="H30" s="29" t="inlineStr">
        <is>
          <t>In progress</t>
        </is>
      </c>
      <c r="I30" s="29" t="inlineStr">
        <is>
          <t>Acceptance matrix passes on a real iPhone</t>
        </is>
      </c>
      <c r="J30" s="29" t="inlineStr">
        <is>
          <t>Simulator end to end with the live web app and database, Oct 10–11, including the grace window across a real midnight · device test plan: docs/phase2/M3-device-test-plan.vi.md · screenshots and scenario logs: outputs/v12-m3-m4-20261011 · not done: the real-iPhone run (Gate A Scrivener from Dropbox, Gate D)</t>
        </is>
      </c>
      <c r="K30" s="29" t="inlineStr">
        <is>
          <t>Everything that can be checked without a real iPhone passes. Left: the real-iPhone pass with iCloud Drive, Dropbox and OneDrive files, Scrivener from Dropbox first.</t>
        </is>
      </c>
    </row>
    <row r="31" ht="105.5" customFormat="1" customHeight="1" s="5">
      <c r="A31" s="19" t="inlineStr">
        <is>
          <t>M4-01</t>
        </is>
      </c>
      <c r="B31" s="28" t="inlineStr">
        <is>
          <t>V1.2 M4</t>
        </is>
      </c>
      <c r="C31" s="28" t="inlineStr">
        <is>
          <t>Week 6</t>
        </is>
      </c>
      <c r="D31" s="28" t="inlineStr">
        <is>
          <t>Check/adjust schema and queries for several contracts on the same day</t>
        </is>
      </c>
      <c r="E31" s="28" t="inlineStr">
        <is>
          <t>Supabase + Web</t>
        </is>
      </c>
      <c r="F31" s="20" t="n">
        <v>5.5</v>
      </c>
      <c r="G31" s="28" t="n"/>
      <c r="H31" s="28" t="inlineStr">
        <is>
          <t>Done</t>
        </is>
      </c>
      <c r="I31" s="28" t="inlineStr">
        <is>
          <t>Schema and History queries return every result of a day for one person (several contracts and Icon days)</t>
        </is>
      </c>
      <c r="J31" s="28" t="inlineStr">
        <is>
          <t>Schema already allows several contracts per person per day (checked Oct 11: no per-day unique key; live data has days with up to 9 contracts) · Lovable 6c0fee7 (Oct 11): resultsByDay and journalEntriesByDay in history-entries.ts; a regular contract sits on the date it was signed · no migration</t>
        </is>
      </c>
      <c r="K31" s="28" t="inlineStr">
        <is>
          <t>Every result of a day is kept for that day; nothing is merged or dropped. A regular contract now sits on the date it was signed (it used to be the date it ended), so a contract that runs past midnight stays on its day (Open Item #28).</t>
        </is>
      </c>
    </row>
    <row r="32" ht="62" customFormat="1" customHeight="1" s="5">
      <c r="A32" s="21" t="inlineStr">
        <is>
          <t>M4-02</t>
        </is>
      </c>
      <c r="B32" s="29" t="inlineStr">
        <is>
          <t>V1.2 M4</t>
        </is>
      </c>
      <c r="C32" s="29" t="inlineStr">
        <is>
          <t>Week 6</t>
        </is>
      </c>
      <c r="D32" s="29" t="inlineStr">
        <is>
          <t>Calendar bands (equal height, full width, green/red/amber, centred white day number) and whole-cell tap</t>
        </is>
      </c>
      <c r="E32" s="29" t="inlineStr">
        <is>
          <t>Web</t>
        </is>
      </c>
      <c r="F32" s="22" t="n">
        <v>7</v>
      </c>
      <c r="G32" s="29" t="n"/>
      <c r="H32" s="29" t="inlineStr">
        <is>
          <t>Done</t>
        </is>
      </c>
      <c r="I32" s="29" t="inlineStr">
        <is>
          <t>Each date shows one equal-height, full-width band per result with a centred white day number, and a tap anywhere opens that day</t>
        </is>
      </c>
      <c r="J32" s="29" t="inlineStr">
        <is>
          <t>Lovable 6c0fee7, published Oct 11: HistoryDayCell (equal-height full-width bands in time order, white centred day number with a shadow, one button per day, the filter dims bands that do not match, spoken label); shared result colours in result-colours.ts, also used by the Icon marks · simulator: Oct 10 shows six bands</t>
        </is>
      </c>
      <c r="K32" s="29" t="inlineStr">
        <is>
          <t>Each date shows one band per result in green, red or amber, with the day number in white on top, and the whole day is one tap target. The colours now match the Icon marks.</t>
        </is>
      </c>
    </row>
    <row r="33" ht="76.5" customFormat="1" customHeight="1" s="5">
      <c r="A33" s="19" t="inlineStr">
        <is>
          <t>M4-03</t>
        </is>
      </c>
      <c r="B33" s="28" t="inlineStr">
        <is>
          <t>V1.2 M4</t>
        </is>
      </c>
      <c r="C33" s="28" t="inlineStr">
        <is>
          <t>Week 6</t>
        </is>
      </c>
      <c r="D33" s="28" t="inlineStr">
        <is>
          <t>Day detail sheet: activity, target, result, timestamp, journal or Voice of Change</t>
        </is>
      </c>
      <c r="E33" s="28" t="inlineStr">
        <is>
          <t>Web</t>
        </is>
      </c>
      <c r="F33" s="20" t="n">
        <v>8.5</v>
      </c>
      <c r="G33" s="28" t="n"/>
      <c r="H33" s="28" t="inlineStr">
        <is>
          <t>Done</t>
        </is>
      </c>
      <c r="I33" s="28" t="inlineStr">
        <is>
          <t>Tapping a date opens a sheet listing each result with activity, target, result, time, and its journal entry or Voice of Change recording</t>
        </is>
      </c>
      <c r="J33" s="28" t="inlineStr">
        <is>
          <t>Lovable 6c0fee7 + 0371495, published Oct 11: HistoryDaySheet (swipe, close button, Escape, backdrop, focus) listing every result with activity, target, result, time, session, Health or word result and the reason; journal entries with Voice of Change playback and 'Recording unavailable' · simulator: six results on Oct 10; a note and a 10-second recording played on Oct 11</t>
        </is>
      </c>
      <c r="K33" s="28" t="inlineStr">
        <is>
          <t>Tapping a date opens a sheet with every result of that day and its time, followed by that day's journal notes and Voice of Change recordings, which play in place.</t>
        </is>
      </c>
    </row>
    <row r="34" ht="47.5" customFormat="1" customHeight="1" s="5">
      <c r="A34" s="21" t="inlineStr">
        <is>
          <t>M4-04</t>
        </is>
      </c>
      <c r="B34" s="29" t="inlineStr">
        <is>
          <t>V1.2 M4</t>
        </is>
      </c>
      <c r="C34" s="29" t="inlineStr">
        <is>
          <t>Week 6</t>
        </is>
      </c>
      <c r="D34" s="29" t="inlineStr">
        <is>
          <t>Test and bug fixes</t>
        </is>
      </c>
      <c r="E34" s="29" t="inlineStr">
        <is>
          <t>QA</t>
        </is>
      </c>
      <c r="F34" s="22" t="n">
        <v>6</v>
      </c>
      <c r="G34" s="29" t="n"/>
      <c r="H34" s="29" t="inlineStr">
        <is>
          <t>In progress</t>
        </is>
      </c>
      <c r="I34" s="29" t="inlineStr">
        <is>
          <t>Calendar and day sheet behave correctly with no, one and several results per day; no known blocker defects</t>
        </is>
      </c>
      <c r="J34" s="29" t="inlineStr">
        <is>
          <t>Web tests 622/622 in four time zones (tests/history-calendar.test.ts, history-entries.test.ts) · simulator pass on Oct 11; one wording fix (0371495) · not done: a real iPhone (legibility, swipe, VoiceOver, a busy month)</t>
        </is>
      </c>
      <c r="K34" s="29" t="inlineStr">
        <is>
          <t>Automated tests and the simulator pass, and the one issue found was fixed. A real-iPhone pass is left.</t>
        </is>
      </c>
    </row>
    <row r="35" ht="62" customFormat="1" customHeight="1" s="5">
      <c r="A35" s="19" t="inlineStr">
        <is>
          <t>X-01</t>
        </is>
      </c>
      <c r="B35" s="28" t="inlineStr">
        <is>
          <t>Extra</t>
        </is>
      </c>
      <c r="C35" s="28" t="inlineStr">
        <is>
          <t>Week 3</t>
        </is>
      </c>
      <c r="D35" s="28" t="inlineStr">
        <is>
          <t>Completion sound no longer interrupts other audio</t>
        </is>
      </c>
      <c r="E35" s="28" t="inlineStr">
        <is>
          <t>Native</t>
        </is>
      </c>
      <c r="F35" s="20" t="n"/>
      <c r="G35" s="28" t="n"/>
      <c r="H35" s="28" t="inlineStr">
        <is>
          <t>Done</t>
        </is>
      </c>
      <c r="I35" s="28" t="inlineStr">
        <is>
          <t>The gong never cuts into music or podcasts</t>
        </is>
      </c>
      <c r="J35" s="28" t="inlineStr">
        <is>
          <t>Native b33c764 (Sep 25): NotificationSound.swift, HonouredAppDelegate.swift, HonouredWebView.swift</t>
        </is>
      </c>
      <c r="K35" s="28" t="inlineStr">
        <is>
          <t>The completion sound is left out when other audio is already playing, and the audio session is released in the background. The app shell now defaults the sound to off, but the published web app still starts it on (Open Item #16).</t>
        </is>
      </c>
    </row>
    <row r="36" ht="62" customFormat="1" customHeight="1" s="5">
      <c r="A36" s="21" t="inlineStr">
        <is>
          <t>X-02</t>
        </is>
      </c>
      <c r="B36" s="29" t="inlineStr">
        <is>
          <t>Extra</t>
        </is>
      </c>
      <c r="C36" s="29" t="inlineStr">
        <is>
          <t>Week 3</t>
        </is>
      </c>
      <c r="D36" s="29" t="inlineStr">
        <is>
          <t>Health display and target units</t>
        </is>
      </c>
      <c r="E36" s="29" t="inlineStr">
        <is>
          <t>Web</t>
        </is>
      </c>
      <c r="F36" s="22" t="n"/>
      <c r="G36" s="29" t="n"/>
      <c r="H36" s="29" t="inlineStr">
        <is>
          <t>Done</t>
        </is>
      </c>
      <c r="I36" s="29" t="inlineStr">
        <is>
          <t>Steps can be committed in km or miles; labels updated</t>
        </is>
      </c>
      <c r="J36" s="29" t="inlineStr">
        <is>
          <t>Lovable 0abbd4f and 9076bf5 (Sep 27) · tests/health-goals.test.ts, target-units.test.ts · in the published web build 48b7a74</t>
        </is>
      </c>
      <c r="K36" s="29" t="inlineStr">
        <is>
          <t>Steps can now be committed in km or miles (checked against walking and running distance), Running and Rucking accept step targets, and the step limit is 50,000. The Home card now reads 'Distance'.</t>
        </is>
      </c>
    </row>
    <row r="37" ht="62" customFormat="1" customHeight="1" s="5">
      <c r="A37" s="19" t="inlineStr">
        <is>
          <t>X-03</t>
        </is>
      </c>
      <c r="B37" s="28" t="inlineStr">
        <is>
          <t>Extra</t>
        </is>
      </c>
      <c r="C37" s="28" t="inlineStr">
        <is>
          <t>Week 3</t>
        </is>
      </c>
      <c r="D37" s="28" t="inlineStr">
        <is>
          <t>V1.2 scope, clarifications and estimate</t>
        </is>
      </c>
      <c r="E37" s="28" t="inlineStr">
        <is>
          <t>Docs</t>
        </is>
      </c>
      <c r="F37" s="20" t="n"/>
      <c r="G37" s="28" t="n"/>
      <c r="H37" s="28" t="inlineStr">
        <is>
          <t>Done</t>
        </is>
      </c>
      <c r="I37" s="28" t="inlineStr">
        <is>
          <t>Milestones, estimate and client decisions written down</t>
        </is>
      </c>
      <c r="J37" s="28" t="inlineStr">
        <is>
          <t>Native repo 42c0d8b and 82e808e (Sep 28): docs/phase2 milestones, estimate and the M2–M3 re-estimate with the Sep 28 decisions</t>
        </is>
      </c>
      <c r="K37" s="28" t="inlineStr">
        <is>
          <t>Scope, clarification questions and hour estimates for the four V1.2 milestones were prepared and finalised with the client's Sep 28 decisions.</t>
        </is>
      </c>
    </row>
    <row r="38" ht="62" customHeight="1">
      <c r="A38" s="21" t="inlineStr">
        <is>
          <t>X-04</t>
        </is>
      </c>
      <c r="B38" s="29" t="inlineStr">
        <is>
          <t>Extra</t>
        </is>
      </c>
      <c r="C38" s="29" t="inlineStr">
        <is>
          <t>Week 4</t>
        </is>
      </c>
      <c r="D38" s="29" t="inlineStr">
        <is>
          <t>Sign in with Apple keeps the account you are signed in to</t>
        </is>
      </c>
      <c r="E38" s="29" t="inlineStr">
        <is>
          <t>Web</t>
        </is>
      </c>
      <c r="F38" s="22" t="n"/>
      <c r="G38" s="29" t="n"/>
      <c r="H38" s="29" t="inlineStr">
        <is>
          <t>Done</t>
        </is>
      </c>
      <c r="I38" s="29" t="inlineStr">
        <is>
          <t>Apple is added to the signed-in account; a different Apple ID is refused</t>
        </is>
      </c>
      <c r="J38" s="29" t="inlineStr">
        <is>
          <t>Lovable e6e07b5 + fcb2a30 (Oct 1): apple-auth.ts, tests/apple-sign-in.test.ts · in the published web build 48b7a74</t>
        </is>
      </c>
      <c r="K38" s="29" t="inlineStr">
        <is>
          <t>If someone who is already signed in taps Sign in with Apple, Apple is added to that same account instead of switching to another one, so no data is left behind. A different Apple ID is refused with a clear message. Not yet checked on a real device.</t>
        </is>
      </c>
    </row>
    <row r="39" ht="76.5" customHeight="1">
      <c r="A39" s="19" t="inlineStr">
        <is>
          <t>X-05</t>
        </is>
      </c>
      <c r="B39" s="28" t="inlineStr">
        <is>
          <t>Extra</t>
        </is>
      </c>
      <c r="C39" s="28" t="inlineStr">
        <is>
          <t>Week 4</t>
        </is>
      </c>
      <c r="D39" s="28" t="inlineStr">
        <is>
          <t>Landscape signing on the Contract screen</t>
        </is>
      </c>
      <c r="E39" s="28" t="inlineStr">
        <is>
          <t>Native + Web</t>
        </is>
      </c>
      <c r="F39" s="20" t="n"/>
      <c r="G39" s="28" t="n"/>
      <c r="H39" s="28" t="inlineStr">
        <is>
          <t>Done</t>
        </is>
      </c>
      <c r="I39" s="28" t="inlineStr">
        <is>
          <t>The Contract screen can rotate so the signature has a wider pad</t>
        </is>
      </c>
      <c r="J39" s="28" t="inlineStr">
        <is>
          <t>Lovable 5c7abde (Oct 1) · native c825a76 (Oct 3): OrientationLock.swift, SET_LANDSCAPE_ALLOWED / ORIENTATION_STATE in docs/phase1/bridge.md</t>
        </is>
      </c>
      <c r="K39" s="28" t="inlineStr">
        <is>
          <t>On iPhone the Contract screen can rotate to landscape so the signature can be drawn on a wider pad; the rest of the app stays portrait. Not yet checked on a real device.</t>
        </is>
      </c>
    </row>
    <row r="40" ht="47.5" customHeight="1">
      <c r="A40" s="21" t="inlineStr">
        <is>
          <t>X-06</t>
        </is>
      </c>
      <c r="B40" s="29" t="inlineStr">
        <is>
          <t>Extra</t>
        </is>
      </c>
      <c r="C40" s="29" t="inlineStr">
        <is>
          <t>Week 4</t>
        </is>
      </c>
      <c r="D40" s="29" t="inlineStr">
        <is>
          <t>Show/hide password button</t>
        </is>
      </c>
      <c r="E40" s="29" t="inlineStr">
        <is>
          <t>Web</t>
        </is>
      </c>
      <c r="F40" s="22" t="n"/>
      <c r="G40" s="29" t="n"/>
      <c r="H40" s="29" t="inlineStr">
        <is>
          <t>Done</t>
        </is>
      </c>
      <c r="I40" s="29" t="inlineStr">
        <is>
          <t>The sign-in form can show or hide the password</t>
        </is>
      </c>
      <c r="J40" s="29" t="inlineStr">
        <is>
          <t>Lovable f386bc2 (Oct 3): Auth.tsx · in the published web build 48b7a74</t>
        </is>
      </c>
      <c r="K40" s="29" t="inlineStr">
        <is>
          <t>The sign-in form has an eye button to show or hide the password while typing.</t>
        </is>
      </c>
    </row>
    <row r="41" ht="120" customHeight="1">
      <c r="A41" s="19" t="inlineStr">
        <is>
          <t>X-07</t>
        </is>
      </c>
      <c r="B41" s="28" t="inlineStr">
        <is>
          <t>Extra</t>
        </is>
      </c>
      <c r="C41" s="28" t="inlineStr">
        <is>
          <t>Week 5</t>
        </is>
      </c>
      <c r="D41" s="28" t="inlineStr">
        <is>
          <t>Save login to iPhone Passwords (iCloud Keychain)</t>
        </is>
      </c>
      <c r="E41" s="28" t="inlineStr">
        <is>
          <t>Native + Web</t>
        </is>
      </c>
      <c r="F41" s="20" t="n"/>
      <c r="G41" s="28" t="n"/>
      <c r="H41" s="28" t="inlineStr">
        <is>
          <t>In progress</t>
        </is>
      </c>
      <c r="I41" s="28" t="inlineStr">
        <is>
          <t>After sign-in or sign-up the iPhone offers to save the login to Passwords</t>
        </is>
      </c>
      <c r="J41" s="28" t="inlineStr">
        <is>
          <t>Web: Lovable 768dd27 (Oct 3), 203c1ef (Oct 4), 48b7a74 (Oct 7) · native: 2d925b7 on main since Oct 10 (SAVE_WEB_CREDENTIAL, webcredentials associated domain) · the apple-app-site-association file lists only the test App ID · no device check yet</t>
        </is>
      </c>
      <c r="K41" s="28" t="inlineStr">
        <is>
          <t>Both sides are built: the web page asks the iPhone to save the login and the app shows the system prompt. Left: a device check, and the final App ID in the web app's association file before release.</t>
        </is>
      </c>
    </row>
    <row r="42" ht="62" customHeight="1">
      <c r="A42" s="21" t="inlineStr">
        <is>
          <t>X-08</t>
        </is>
      </c>
      <c r="B42" s="29" t="inlineStr">
        <is>
          <t>Extra</t>
        </is>
      </c>
      <c r="C42" s="29" t="inlineStr">
        <is>
          <t>Week 4</t>
        </is>
      </c>
      <c r="D42" s="29" t="inlineStr">
        <is>
          <t>Terms of Use, Privacy Policy and sign-up consent</t>
        </is>
      </c>
      <c r="E42" s="29" t="inlineStr">
        <is>
          <t>Web</t>
        </is>
      </c>
      <c r="F42" s="22" t="n"/>
      <c r="G42" s="29" t="n"/>
      <c r="H42" s="29" t="inlineStr">
        <is>
          <t>Done</t>
        </is>
      </c>
      <c r="I42" s="29" t="inlineStr">
        <is>
          <t>Legal pages are live and sign-up asks for consent</t>
        </is>
      </c>
      <c r="J42" s="29" t="inlineStr">
        <is>
          <t>Lovable ad6d676, ae4b6a3, 85bdf31 (Oct 4), 203c1ef · /privacy and /terms return 200 · in the published web build 48b7a74</t>
        </is>
      </c>
      <c r="K42" s="29" t="inlineStr">
        <is>
          <t>Terms of Use and Privacy Policy pages were added and open as in-app sheets, and signing in or creating an account asks for consent. The public Privacy Policy page can serve as the policy URL for the App Store listing (N-20).</t>
        </is>
      </c>
    </row>
    <row r="43" ht="45" customHeight="1">
      <c r="A43" s="19" t="inlineStr">
        <is>
          <t>X-09</t>
        </is>
      </c>
      <c r="B43" s="28" t="inlineStr">
        <is>
          <t>Extra</t>
        </is>
      </c>
      <c r="C43" s="28" t="inlineStr">
        <is>
          <t>Week 4</t>
        </is>
      </c>
      <c r="D43" s="28" t="inlineStr">
        <is>
          <t>Android app no longer closes on links it cannot open</t>
        </is>
      </c>
      <c r="E43" s="28" t="inlineStr">
        <is>
          <t>Native (Android)</t>
        </is>
      </c>
      <c r="F43" s="20" t="n"/>
      <c r="G43" s="28" t="n"/>
      <c r="H43" s="28" t="inlineStr">
        <is>
          <t>Done</t>
        </is>
      </c>
      <c r="I43" s="28" t="inlineStr">
        <is>
          <t>A link no installed app can open is ignored instead of crashing</t>
        </is>
      </c>
      <c r="J43" s="28" t="inlineStr">
        <is>
          <t>Native 5a1dd1e (Oct 4): MainActivity.kt</t>
        </is>
      </c>
      <c r="K43" s="28" t="inlineStr">
        <is>
          <t>Fixed a crash in the Android app: a link that no installed app can open is now ignored instead of closing Honoured.</t>
        </is>
      </c>
    </row>
    <row r="44" ht="62" customHeight="1">
      <c r="A44" s="21" t="inlineStr">
        <is>
          <t>X-10</t>
        </is>
      </c>
      <c r="B44" s="29" t="inlineStr">
        <is>
          <t>Extra</t>
        </is>
      </c>
      <c r="C44" s="29" t="inlineStr">
        <is>
          <t>Week 4</t>
        </is>
      </c>
      <c r="D44" s="29" t="inlineStr">
        <is>
          <t>History calendar shows each Icon day</t>
        </is>
      </c>
      <c r="E44" s="29" t="inlineStr">
        <is>
          <t>Web</t>
        </is>
      </c>
      <c r="F44" s="22" t="n"/>
      <c r="G44" s="29" t="n"/>
      <c r="H44" s="29" t="inlineStr">
        <is>
          <t>Done</t>
        </is>
      </c>
      <c r="I44" s="29" t="inlineStr">
        <is>
          <t>History lists each Icon day on its own date with what decided it</t>
        </is>
      </c>
      <c r="J44" s="29" t="inlineStr">
        <is>
          <t>Lovable 499d0dd (Oct 5): history-entries.ts, History.tsx, tests/history-entries.test.ts · in the published web build 48b7a74</t>
        </is>
      </c>
      <c r="K44" s="29" t="inlineStr">
        <is>
          <t>At the client's request, History lists each Icon day on its own date with 'Session x of y' and what decided it (Health reading, self-report or no data). An Icon ended early adds one AMENDED entry.</t>
        </is>
      </c>
    </row>
    <row r="45" ht="91" customHeight="1">
      <c r="A45" s="19" t="inlineStr">
        <is>
          <t>X-11</t>
        </is>
      </c>
      <c r="B45" s="28" t="inlineStr">
        <is>
          <t>Extra</t>
        </is>
      </c>
      <c r="C45" s="28" t="inlineStr">
        <is>
          <t>Week 5</t>
        </is>
      </c>
      <c r="D45" s="28" t="inlineStr">
        <is>
          <t>Testament Timer for Icons that Health cannot measure</t>
        </is>
      </c>
      <c r="E45" s="28" t="inlineStr">
        <is>
          <t>Web</t>
        </is>
      </c>
      <c r="F45" s="20" t="n"/>
      <c r="G45" s="28" t="n"/>
      <c r="H45" s="28" t="inlineStr">
        <is>
          <t>Done</t>
        </is>
      </c>
      <c r="I45" s="28" t="inlineStr">
        <is>
          <t>A timed Icon without a Health metric can be completed with the Testament Timer</t>
        </is>
      </c>
      <c r="J45" s="28" t="inlineStr">
        <is>
          <t>Lovable cca6f43 + c0d1fbb (Oct 6): icon-timer.ts, ActiveIcons.tsx, timer-store.ts · tests icon-timer.test.ts, icon-timer-store.test.ts · in the published web build 48b7a74</t>
        </is>
      </c>
      <c r="K45" s="28" t="inlineStr">
        <is>
          <t>Icons with a time target that Apple Health cannot measure (for example 22 minutes of basketball) offer 'Start The Testament Timer', and finishing it marks today's session HONOURED.</t>
        </is>
      </c>
    </row>
    <row r="46" ht="76.5" customHeight="1">
      <c r="A46" s="21" t="inlineStr">
        <is>
          <t>X-12</t>
        </is>
      </c>
      <c r="B46" s="29" t="inlineStr">
        <is>
          <t>Extra</t>
        </is>
      </c>
      <c r="C46" s="29" t="inlineStr">
        <is>
          <t>Week 5</t>
        </is>
      </c>
      <c r="D46" s="29" t="inlineStr">
        <is>
          <t>Sign-in session refreshed by the iPhone app</t>
        </is>
      </c>
      <c r="E46" s="29" t="inlineStr">
        <is>
          <t>Native + Web</t>
        </is>
      </c>
      <c r="F46" s="22" t="n"/>
      <c r="G46" s="29" t="n"/>
      <c r="H46" s="29" t="inlineStr">
        <is>
          <t>In progress</t>
        </is>
      </c>
      <c r="I46" s="29" t="inlineStr">
        <is>
          <t>The iPhone app keeps the web sign-in session fresh</t>
        </is>
      </c>
      <c r="J46" s="29" t="inlineStr">
        <is>
          <t>Web: Lovable c191672 + 5b7b39f (Oct 7) · native: 16f9f3f on main since Oct 10 (REFRESH_AUTH_SESSION, sessionRefresh capability) · no device check yet</t>
        </is>
      </c>
      <c r="K46" s="29" t="inlineStr">
        <is>
          <t>Both sides are built: the iPhone app now refreshes the web sign-in session. Left: a device check with an expired session.</t>
        </is>
      </c>
    </row>
    <row r="47">
      <c r="A47" s="23" t="n"/>
      <c r="B47" s="23" t="n"/>
      <c r="C47" s="23" t="n"/>
      <c r="D47" s="26" t="inlineStr">
        <is>
          <t>Total</t>
        </is>
      </c>
      <c r="E47" s="23" t="n"/>
      <c r="F47" s="25">
        <f>SUM(F5:F46)</f>
        <v>153</v>
      </c>
      <c r="G47" s="26">
        <f>SUM(G5:G46)</f>
        <v>0</v>
      </c>
      <c r="H47" s="23" t="n"/>
      <c r="I47" s="23" t="n"/>
      <c r="J47" s="23" t="n"/>
      <c r="K47" s="23" t="n"/>
    </row>
  </sheetData>
  <conditionalFormatting sqref="H5:H300">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"Deferred"</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38"/>
  <sheetViews>
    <sheetView workbookViewId="0">
      <pane ySplit="4" topLeftCell="A5" activePane="bottomLeft" state="frozen"/>
      <selection activeCell="A1" sqref="A1"/>
    </sheetView>
  </sheetViews>
  <sheetFormatPr baseColWidth="8" defaultRowHeight="15"/>
  <cols>
    <col width="9.005000114440918" customWidth="1" style="17" min="1" max="1"/>
    <col width="11.00500011444092" customWidth="1" style="17" min="2" max="2"/>
    <col width="12.00500011444092" customWidth="1" style="17" min="3" max="3"/>
    <col width="46.00500106811523" customWidth="1" style="17" min="4" max="4"/>
    <col width="10.00500011444092" customWidth="1" style="17" min="5" max="5"/>
    <col width="8.005000114440918" customWidth="1" style="27" min="6" max="6"/>
    <col width="9.005000114440918" customWidth="1" style="17" min="7" max="7"/>
    <col width="14.00500011444092" customWidth="1" style="17" min="8" max="8"/>
    <col width="44.00500106811523" customWidth="1" style="17" min="9" max="9"/>
    <col width="30.0049991607666" customWidth="1" style="17" min="10" max="10"/>
    <col width="60.00500106811523" customWidth="1" style="17" min="11" max="11"/>
  </cols>
  <sheetData>
    <row r="1" ht="17.25" customHeight="1">
      <c r="A1" s="14" t="inlineStr">
        <is>
          <t>V1.1 Task Tracker</t>
        </is>
      </c>
      <c r="B1" s="17" t="n"/>
      <c r="C1" s="17" t="n"/>
      <c r="D1" s="17" t="n"/>
      <c r="E1" s="17" t="n"/>
      <c r="F1" s="27" t="n"/>
      <c r="G1" s="17" t="n"/>
      <c r="H1" s="17" t="n"/>
      <c r="I1" s="17" t="n"/>
      <c r="J1" s="17" t="n"/>
      <c r="K1" s="17" t="n"/>
    </row>
    <row r="2" ht="17.25" customHeight="1">
      <c r="A2" s="15" t="inlineStr">
        <is>
          <t>Every task in the native scope. Filter by milestone or week to see a slice of the work.</t>
        </is>
      </c>
      <c r="B2" s="17" t="n"/>
      <c r="C2" s="17" t="n"/>
      <c r="D2" s="17" t="n"/>
      <c r="E2" s="17" t="n"/>
      <c r="F2" s="27" t="n"/>
      <c r="G2" s="17" t="n"/>
      <c r="H2" s="17" t="n"/>
      <c r="I2" s="17" t="n"/>
      <c r="J2" s="17" t="n"/>
      <c r="K2" s="17" t="n"/>
    </row>
    <row r="3" ht="17.25" customHeight="1">
      <c r="A3" s="17" t="n"/>
      <c r="B3" s="17" t="n"/>
      <c r="C3" s="17" t="n"/>
      <c r="D3" s="17" t="n"/>
      <c r="E3" s="17" t="n"/>
      <c r="F3" s="27" t="n"/>
      <c r="G3" s="17" t="n"/>
      <c r="H3" s="17" t="n"/>
      <c r="I3" s="17" t="n"/>
      <c r="J3" s="17" t="n"/>
      <c r="K3" s="17" t="n"/>
    </row>
    <row r="4" ht="28" customFormat="1" customHeight="1" s="5">
      <c r="A4" s="7" t="inlineStr">
        <is>
          <t>ID</t>
        </is>
      </c>
      <c r="B4" s="7" t="inlineStr">
        <is>
          <t>Milestone</t>
        </is>
      </c>
      <c r="C4" s="7" t="inlineStr">
        <is>
          <t>Week</t>
        </is>
      </c>
      <c r="D4" s="7" t="inlineStr">
        <is>
          <t>Task</t>
        </is>
      </c>
      <c r="E4" s="7" t="inlineStr">
        <is>
          <t>Layer</t>
        </is>
      </c>
      <c r="F4" s="6" t="inlineStr">
        <is>
          <t>Est. h</t>
        </is>
      </c>
      <c r="G4" s="7" t="inlineStr">
        <is>
          <t>Actual h</t>
        </is>
      </c>
      <c r="H4" s="7" t="inlineStr">
        <is>
          <t>Status</t>
        </is>
      </c>
      <c r="I4" s="7" t="inlineStr">
        <is>
          <t>Done when</t>
        </is>
      </c>
      <c r="J4" s="7" t="inlineStr">
        <is>
          <t>Evidence</t>
        </is>
      </c>
      <c r="K4" s="7" t="inlineStr">
        <is>
          <t>Notes</t>
        </is>
      </c>
    </row>
    <row r="5" ht="72" customFormat="1" customHeight="1" s="5">
      <c r="A5" s="19" t="inlineStr">
        <is>
          <t>M1-01</t>
        </is>
      </c>
      <c r="B5" s="28" t="inlineStr">
        <is>
          <t>M1</t>
        </is>
      </c>
      <c r="C5" s="28" t="inlineStr">
        <is>
          <t>Scope lock</t>
        </is>
      </c>
      <c r="D5" s="28" t="inlineStr">
        <is>
          <t>Lock bridge v2 message contract, update docs/bridge.md</t>
        </is>
      </c>
      <c r="E5" s="28" t="inlineStr">
        <is>
          <t>Native</t>
        </is>
      </c>
      <c r="F5" s="20" t="n">
        <v>3</v>
      </c>
      <c r="G5" s="28" t="n"/>
      <c r="H5" s="28" t="inlineStr">
        <is>
          <t>Done</t>
        </is>
      </c>
      <c r="I5" s="28" t="inlineStr">
        <is>
          <t>Web side confirms they can build against the documented contract</t>
        </is>
      </c>
      <c r="J5" s="28" t="inlineStr">
        <is>
          <t>docs/bridge.md · commit c1b6bed</t>
        </is>
      </c>
      <c r="K5" s="28" t="inlineStr">
        <is>
          <t>Locked Sep 13. Adds auth-session hand-off, three distance metrics, GET_TIMER_STATE, GOAL_REACHED broadcast, linkIdentity rule for Apple. Sep 13 fix: any inbound message marks the web ready, since the current web build never sends APP_READY.</t>
        </is>
      </c>
    </row>
    <row r="6" ht="72" customFormat="1" customHeight="1" s="5">
      <c r="A6" s="21" t="inlineStr">
        <is>
          <t>M1-02</t>
        </is>
      </c>
      <c r="B6" s="29" t="inlineStr">
        <is>
          <t>M1</t>
        </is>
      </c>
      <c r="C6" s="29" t="inlineStr">
        <is>
          <t>Scope lock</t>
        </is>
      </c>
      <c r="D6" s="29" t="inlineStr">
        <is>
          <t>Lock Supabase schema + row-level security, review with web side</t>
        </is>
      </c>
      <c r="E6" s="29" t="inlineStr">
        <is>
          <t>Supabase</t>
        </is>
      </c>
      <c r="F6" s="22" t="n">
        <v>3</v>
      </c>
      <c r="G6" s="29" t="n"/>
      <c r="H6" s="29" t="inlineStr">
        <is>
          <t>Done</t>
        </is>
      </c>
      <c r="I6" s="29" t="inlineStr">
        <is>
          <t>Schema runs on staging, RLS verified for a second user</t>
        </is>
      </c>
      <c r="J6" s="29" t="inlineStr">
        <is>
          <t>docs/db/healthkit_v1.sql · authenticated RPC transaction test</t>
        </is>
      </c>
      <c r="K6" s="29" t="inlineStr">
        <is>
          <t>Applied to Lovable Cloud Sep 14. Both tables have RLS; anon cannot read; authenticated select/insert/update and both SECURITY INVOKER RPCs verified. Test rows rolled back.</t>
        </is>
      </c>
    </row>
    <row r="7" ht="72" customFormat="1" customHeight="1" s="5">
      <c r="A7" s="19" t="inlineStr">
        <is>
          <t>M1-03</t>
        </is>
      </c>
      <c r="B7" s="28" t="inlineStr">
        <is>
          <t>M1</t>
        </is>
      </c>
      <c r="C7" s="28" t="inlineStr">
        <is>
          <t>Scope lock</t>
        </is>
      </c>
      <c r="D7" s="28" t="inlineStr">
        <is>
          <t>Lock the 7 metrics and their HealthKit identifier mapping</t>
        </is>
      </c>
      <c r="E7" s="28" t="inlineStr">
        <is>
          <t>Native</t>
        </is>
      </c>
      <c r="F7" s="20" t="n">
        <v>1</v>
      </c>
      <c r="G7" s="28" t="n"/>
      <c r="H7" s="28" t="inlineStr">
        <is>
          <t>Done</t>
        </is>
      </c>
      <c r="I7" s="28" t="inlineStr">
        <is>
          <t>Each metric maps to a named HealthKit type, ambiguities resolved</t>
        </is>
      </c>
      <c r="J7" s="28" t="inlineStr">
        <is>
          <t>docs/bridge.md · ios/Honoured/HealthMetric.swift</t>
        </is>
      </c>
      <c r="K7" s="28" t="inlineStr">
        <is>
          <t>Nine identifiers cover the seven spec data types: distance split into walking/running, cycling, swimming; active and basal energy both read.</t>
        </is>
      </c>
    </row>
    <row r="8" ht="72" customFormat="1" customHeight="1" s="5">
      <c r="A8" s="21" t="inlineStr">
        <is>
          <t>M1-04</t>
        </is>
      </c>
      <c r="B8" s="29" t="inlineStr">
        <is>
          <t>M1</t>
        </is>
      </c>
      <c r="C8" s="29" t="inlineStr">
        <is>
          <t>Scope lock</t>
        </is>
      </c>
      <c r="D8" s="29" t="inlineStr">
        <is>
          <t>Confirm the four client decisions in writing</t>
        </is>
      </c>
      <c r="E8" s="29" t="inlineStr">
        <is>
          <t>Ops</t>
        </is>
      </c>
      <c r="F8" s="22" t="n">
        <v>1</v>
      </c>
      <c r="G8" s="29" t="n"/>
      <c r="H8" s="29" t="inlineStr">
        <is>
          <t>Done</t>
        </is>
      </c>
      <c r="I8" s="29" t="inlineStr">
        <is>
          <t>Written confirmation on notifications, Dynamic Island, sleep, Apple-only sign-in</t>
        </is>
      </c>
      <c r="J8" s="29" t="inlineStr">
        <is>
          <t>Client message, Sep 10</t>
        </is>
      </c>
      <c r="K8" s="29" t="inlineStr">
        <is>
          <t>Confirmed: local notifications, Dynamic Island deferred to M3, sleep hidden when empty, Sign in with Apple only for V1.1.</t>
        </is>
      </c>
    </row>
    <row r="9" ht="72" customFormat="1" customHeight="1" s="5">
      <c r="A9" s="19" t="inlineStr">
        <is>
          <t>N-01</t>
        </is>
      </c>
      <c r="B9" s="28" t="inlineStr">
        <is>
          <t>M2</t>
        </is>
      </c>
      <c r="C9" s="28" t="inlineStr">
        <is>
          <t>Week 1</t>
        </is>
      </c>
      <c r="D9" s="28" t="inlineStr">
        <is>
          <t>Bridge v2 scaffolding + event queue for pre-load events</t>
        </is>
      </c>
      <c r="E9" s="28" t="inlineStr">
        <is>
          <t>Native</t>
        </is>
      </c>
      <c r="F9" s="20" t="n">
        <v>4</v>
      </c>
      <c r="G9" s="28" t="n"/>
      <c r="H9" s="28" t="inlineStr">
        <is>
          <t>Done</t>
        </is>
      </c>
      <c r="I9" s="28" t="inlineStr">
        <is>
          <t>New message types round-trip; events fired before web is ready are replayed, not lost</t>
        </is>
      </c>
      <c r="J9" s="28" t="inlineStr">
        <is>
          <t>commit c1b6bed</t>
        </is>
      </c>
      <c r="K9" s="28" t="inlineStr">
        <is>
          <t>bridgeVersion 2, queued broadcasts (bounded to 50, survive a reload), 13 v2 messages stubbed as not_implemented so the web can tell an old build from an incomplete one.</t>
        </is>
      </c>
    </row>
    <row r="10" ht="120" customFormat="1" customHeight="1" s="5">
      <c r="A10" s="21" t="inlineStr">
        <is>
          <t>N-02</t>
        </is>
      </c>
      <c r="B10" s="29" t="inlineStr">
        <is>
          <t>M2</t>
        </is>
      </c>
      <c r="C10" s="29" t="inlineStr">
        <is>
          <t>Week 1</t>
        </is>
      </c>
      <c r="D10" s="29" t="inlineStr">
        <is>
          <t>Project config: entitlements, Info.plist keys, Apple Developer capabilities</t>
        </is>
      </c>
      <c r="E10" s="29" t="inlineStr">
        <is>
          <t>Native</t>
        </is>
      </c>
      <c r="F10" s="22" t="n">
        <v>5</v>
      </c>
      <c r="G10" s="29" t="n"/>
      <c r="H10" s="29" t="inlineStr">
        <is>
          <t>Done</t>
        </is>
      </c>
      <c r="I10" s="29" t="inlineStr">
        <is>
          <t>App builds and installs with HealthKit capability enabled on a real device</t>
        </is>
      </c>
      <c r="J10" s="29" t="inlineStr">
        <is>
          <t>commit 571de89 · builds under the test App ID com.jimmy.upwork.honoured since Sep 23 (39e145e) · live database: Health data from two real iPhones since Sep 18, Apple sign-ins Sep 23 · push and App Group entitlements added Oct 3–4 (c825a76, 9fd8622)</t>
        </is>
      </c>
      <c r="K10" s="29" t="inlineStr">
        <is>
          <t>Done: the app installs and runs on real iPhones, including the client's, with HealthKit, background delivery and Sign in with Apple (push added Oct 4), under the test App ID. The same capabilities still need enabling on the final release App ID (Open Item #14).</t>
        </is>
      </c>
    </row>
    <row r="11" ht="76.5" customFormat="1" customHeight="1" s="5">
      <c r="A11" s="19" t="inlineStr">
        <is>
          <t>N-03</t>
        </is>
      </c>
      <c r="B11" s="28" t="inlineStr">
        <is>
          <t>M2</t>
        </is>
      </c>
      <c r="C11" s="28" t="inlineStr">
        <is>
          <t>Week 1</t>
        </is>
      </c>
      <c r="D11" s="28" t="inlineStr">
        <is>
          <t>HealthKitService — authorisation flow and per-type status</t>
        </is>
      </c>
      <c r="E11" s="28" t="inlineStr">
        <is>
          <t>Native</t>
        </is>
      </c>
      <c r="F11" s="20" t="n">
        <v>6</v>
      </c>
      <c r="G11" s="28" t="n"/>
      <c r="H11" s="28" t="inlineStr">
        <is>
          <t>Done</t>
        </is>
      </c>
      <c r="I11" s="28" t="inlineStr">
        <is>
          <t>Permission sheet appears; partial grants reported correctly per type</t>
        </is>
      </c>
      <c r="J11" s="28" t="inlineStr">
        <is>
          <t>ios/Honoured/Health/HealthKitService.swift · simulator Sep 15 (screenshot 03) · real iPhones have synced Health data to the live database since Sep 18</t>
        </is>
      </c>
      <c r="K11" s="28" t="inlineStr">
        <is>
          <t>Done: the Health permission flow works on real iPhones; accounts on the developer's and the client's iPhones have granted access and synced data since Sep 18. Denied, partial and revoked cases are checked in N-17.</t>
        </is>
      </c>
    </row>
    <row r="12" ht="72" customFormat="1" customHeight="1" s="5">
      <c r="A12" s="21" t="inlineStr">
        <is>
          <t>N-04</t>
        </is>
      </c>
      <c r="B12" s="29" t="inlineStr">
        <is>
          <t>M2</t>
        </is>
      </c>
      <c r="C12" s="29" t="inlineStr">
        <is>
          <t>Week 1</t>
        </is>
      </c>
      <c r="D12" s="29" t="inlineStr">
        <is>
          <t>Data reads — anchored queries for 7 metrics, anchor persistence</t>
        </is>
      </c>
      <c r="E12" s="29" t="inlineStr">
        <is>
          <t>Native</t>
        </is>
      </c>
      <c r="F12" s="22" t="n">
        <v>10</v>
      </c>
      <c r="G12" s="29" t="n"/>
      <c r="H12" s="29" t="inlineStr">
        <is>
          <t>Done</t>
        </is>
      </c>
      <c r="I12" s="29" t="inlineStr">
        <is>
          <t>Second run returns only new samples; anchors survive an app restart</t>
        </is>
      </c>
      <c r="J12" s="29" t="inlineStr">
        <is>
          <t>ios/Honoured/HealthKitService.swift · static audit Sep 15 · simulator build Sep 14</t>
        </is>
      </c>
      <c r="K12" s="29" t="inlineStr">
        <is>
          <t>Done: anchored reads for nine metrics with per-metric anchors committed only after the batch is durably queued, 30-day initial floor, deletions, source-deduplicated totals, merged overlapping sleep, late historical-day recomputation; static audit Sep 15. Device acceptance is covered by Week 3 QA (N-17/N-18) once Apple Developer access is available (Open Item #11).</t>
        </is>
      </c>
    </row>
    <row r="13" ht="32" customFormat="1" customHeight="1" s="5">
      <c r="A13" s="19" t="inlineStr">
        <is>
          <t>N-05</t>
        </is>
      </c>
      <c r="B13" s="28" t="inlineStr">
        <is>
          <t>M2</t>
        </is>
      </c>
      <c r="C13" s="28" t="inlineStr">
        <is>
          <t>Week 1</t>
        </is>
      </c>
      <c r="D13" s="28" t="inlineStr">
        <is>
          <t>Supabase tables + upsert RPC + daily rollup</t>
        </is>
      </c>
      <c r="E13" s="28" t="inlineStr">
        <is>
          <t>Supabase</t>
        </is>
      </c>
      <c r="F13" s="20" t="n">
        <v>8</v>
      </c>
      <c r="G13" s="28" t="n"/>
      <c r="H13" s="28" t="inlineStr">
        <is>
          <t>Done</t>
        </is>
      </c>
      <c r="I13" s="28" t="inlineStr">
        <is>
          <t>Batch upsert is idempotent; health_daily totals match the Health app</t>
        </is>
      </c>
      <c r="J13" s="28" t="inlineStr">
        <is>
          <t>docs/db/healthkit_v1.sql · Lovable Cloud Sep 14</t>
        </is>
      </c>
      <c r="K13" s="28" t="inlineStr">
        <is>
          <t>Schema, constraints, index, RLS and both authenticated RPCs applied. Idempotent transactional upsert test passed and rolled back.</t>
        </is>
      </c>
    </row>
    <row r="14" ht="76.5" customFormat="1" customHeight="1" s="5">
      <c r="A14" s="21" t="inlineStr">
        <is>
          <t>N-06</t>
        </is>
      </c>
      <c r="B14" s="29" t="inlineStr">
        <is>
          <t>M2</t>
        </is>
      </c>
      <c r="C14" s="29" t="inlineStr">
        <is>
          <t>Week 1</t>
        </is>
      </c>
      <c r="D14" s="29" t="inlineStr">
        <is>
          <t>Sync client — batch upload, deleted-sample handling</t>
        </is>
      </c>
      <c r="E14" s="29" t="inlineStr">
        <is>
          <t>Native</t>
        </is>
      </c>
      <c r="F14" s="22" t="n">
        <v>6</v>
      </c>
      <c r="G14" s="29" t="n"/>
      <c r="H14" s="29" t="inlineStr">
        <is>
          <t>Done</t>
        </is>
      </c>
      <c r="I14" s="29" t="inlineStr">
        <is>
          <t>Deleting a sample in Health removes it from the daily total</t>
        </is>
      </c>
      <c r="J14" s="29" t="inlineStr">
        <is>
          <t>ios/Honoured/Health/HealthSyncClient.swift · live database: samples and daily totals uploaded Sep 18 – Oct 7; samples removed in Apple Health are marked deleted</t>
        </is>
      </c>
      <c r="K14" s="29" t="inlineStr">
        <is>
          <t>Done: uploads and deletions from real iPhones reach the live database. A stall in general Health uploads since Oct 7 is tracked under N-19 and Open Item #20; comparing daily totals with the Health app is part of the N-17/N-18 device pass.</t>
        </is>
      </c>
    </row>
    <row r="15" ht="32" customFormat="1" customHeight="1" s="5">
      <c r="A15" s="19" t="inlineStr">
        <is>
          <t>N-07</t>
        </is>
      </c>
      <c r="B15" s="28" t="inlineStr">
        <is>
          <t>M2</t>
        </is>
      </c>
      <c r="C15" s="28" t="inlineStr">
        <is>
          <t>Week 1</t>
        </is>
      </c>
      <c r="D15" s="28" t="inlineStr">
        <is>
          <t>Offline queue + retry on reconnect</t>
        </is>
      </c>
      <c r="E15" s="28" t="inlineStr">
        <is>
          <t>Native</t>
        </is>
      </c>
      <c r="F15" s="20" t="n">
        <v>4</v>
      </c>
      <c r="G15" s="28" t="n"/>
      <c r="H15" s="28" t="inlineStr">
        <is>
          <t>Done</t>
        </is>
      </c>
      <c r="I15" s="28" t="inlineStr">
        <is>
          <t>Airplane mode then reconnect syncs everything with no duplicate rows</t>
        </is>
      </c>
      <c r="J15" s="28" t="inlineStr">
        <is>
          <t>ios/Honoured/OfflineHealthQueue.swift · reconnect/retry audit Sep 15</t>
        </is>
      </c>
      <c r="K15" s="28" t="inlineStr">
        <is>
          <t>Done: atomic on-disk queue with rollback, reconnect reads new Health data before draining, capped exponential backoff that actually retries. Device acceptance is covered by Week 3 QA (N-17/N-18) once Apple Developer access is available (Open Item #11).</t>
        </is>
      </c>
    </row>
    <row r="16" ht="72" customFormat="1" customHeight="1" s="5">
      <c r="A16" s="21" t="inlineStr">
        <is>
          <t>N-08</t>
        </is>
      </c>
      <c r="B16" s="29" t="inlineStr">
        <is>
          <t>M2</t>
        </is>
      </c>
      <c r="C16" s="29" t="inlineStr">
        <is>
          <t>Week 1</t>
        </is>
      </c>
      <c r="D16" s="29" t="inlineStr">
        <is>
          <t>HealthKit bridge messages (permission, status, query, goals)</t>
        </is>
      </c>
      <c r="E16" s="29" t="inlineStr">
        <is>
          <t>Native</t>
        </is>
      </c>
      <c r="F16" s="22" t="n">
        <v>2</v>
      </c>
      <c r="G16" s="29" t="n"/>
      <c r="H16" s="29" t="inlineStr">
        <is>
          <t>Done</t>
        </is>
      </c>
      <c r="I16" s="29" t="inlineStr">
        <is>
          <t>Web can request permission and read metrics through the bridge</t>
        </is>
      </c>
      <c r="J16" s="29" t="inlineStr">
        <is>
          <t>native + Lovable commit 9c13bdf · bridge messages present in the published web build 48b7a74 (checked Oct 10)</t>
        </is>
      </c>
      <c r="K16" s="29" t="inlineStr">
        <is>
          <t>Done: the web side of the bridge is live in the published web app, and real iPhones request Health permission and sync data through it.</t>
        </is>
      </c>
    </row>
    <row r="17" ht="32" customFormat="1" customHeight="1" s="5">
      <c r="A17" s="19" t="inlineStr">
        <is>
          <t>N-09</t>
        </is>
      </c>
      <c r="B17" s="28" t="inlineStr">
        <is>
          <t>M2</t>
        </is>
      </c>
      <c r="C17" s="28" t="inlineStr">
        <is>
          <t>Week 2</t>
        </is>
      </c>
      <c r="D17" s="28" t="inlineStr">
        <is>
          <t>Background delivery — observer queries, immediate frequency</t>
        </is>
      </c>
      <c r="E17" s="28" t="inlineStr">
        <is>
          <t>Native</t>
        </is>
      </c>
      <c r="F17" s="20" t="n">
        <v>7</v>
      </c>
      <c r="G17" s="28" t="n"/>
      <c r="H17" s="28" t="inlineStr">
        <is>
          <t>Done</t>
        </is>
      </c>
      <c r="I17" s="28" t="inlineStr">
        <is>
          <t>Live Activity refresh is attempted as soon as HealthKit wakes the app; the full sync continues afterward</t>
        </is>
      </c>
      <c r="J17" s="28" t="inlineStr">
        <is>
          <t>ios/Honoured/HealthBackgroundObserver.swift, HealthSyncCoordinator.swift · native commit 12c0270 · docs/bridge.md</t>
        </is>
      </c>
      <c r="K17" s="28" t="inlineStr">
        <is>
          <t>Updated Sep 25: all nine HealthKit observer deliveries request .immediate frequency. A wake first refreshes Live Activity progress, then reuses those totals for goal monitoring and durable sync. This reduces visible delay but remains best-effort because iOS controls background launch timing. 94/94 native tests pass; real-device acceptance remains in N-18.</t>
        </is>
      </c>
    </row>
    <row r="18" ht="32" customFormat="1" customHeight="1" s="5">
      <c r="A18" s="21" t="inlineStr">
        <is>
          <t>N-10</t>
        </is>
      </c>
      <c r="B18" s="29" t="inlineStr">
        <is>
          <t>M2</t>
        </is>
      </c>
      <c r="C18" s="29" t="inlineStr">
        <is>
          <t>Week 2</t>
        </is>
      </c>
      <c r="D18" s="29" t="inlineStr">
        <is>
          <t>BGTaskScheduler fallback path</t>
        </is>
      </c>
      <c r="E18" s="29" t="inlineStr">
        <is>
          <t>Native</t>
        </is>
      </c>
      <c r="F18" s="22" t="n">
        <v>4</v>
      </c>
      <c r="G18" s="29" t="n"/>
      <c r="H18" s="29" t="inlineStr">
        <is>
          <t>Done</t>
        </is>
      </c>
      <c r="I18" s="29" t="inlineStr">
        <is>
          <t>Scheduled refresh runs when the observer does not fire</t>
        </is>
      </c>
      <c r="J18" s="29" t="inlineStr">
        <is>
          <t>ios/Honoured/HealthBackgroundRefresh.swift, HonouredAppDelegate.swift, Info.plist · typecheck + simulator build Sep 15 · docs/bridge.md "Background sync"</t>
        </is>
      </c>
      <c r="K18" s="29" t="inlineStr">
        <is>
          <t>Done: BGAppRefreshTask registered before launch finishes, rescheduled at the start of each run and on every background transition, cancelled with the session; same collect-then-drain pass as the observer path, completion guaranteed exactly once. Also fixed the SwiftUI lifecycle so foreground retries fire. Removed the unused 'processing' background mode. Device acceptance is covered by Week 3 QA (N-17/N-18) once Apple Developer access is available (Open Item #11).</t>
        </is>
      </c>
    </row>
    <row r="19" ht="32" customFormat="1" customHeight="1" s="5">
      <c r="A19" s="19" t="inlineStr">
        <is>
          <t>N-11</t>
        </is>
      </c>
      <c r="B19" s="28" t="inlineStr">
        <is>
          <t>M2</t>
        </is>
      </c>
      <c r="C19" s="28" t="inlineStr">
        <is>
          <t>Week 2</t>
        </is>
      </c>
      <c r="D19" s="28" t="inlineStr">
        <is>
          <t>Notification infrastructure, permission timing and Settings control</t>
        </is>
      </c>
      <c r="E19" s="28" t="inlineStr">
        <is>
          <t>Native</t>
        </is>
      </c>
      <c r="F19" s="20" t="n">
        <v>4</v>
      </c>
      <c r="G19" s="28" t="n"/>
      <c r="H19" s="28" t="inlineStr">
        <is>
          <t>Done</t>
        </is>
      </c>
      <c r="I19" s="28" t="inlineStr">
        <is>
          <t>The user can enable notification permission from Honoured Settings or open iOS Settings after denial</t>
        </is>
      </c>
      <c r="J19" s="28" t="inlineStr">
        <is>
          <t>ios/Honoured/Bridge/NativeBridge.swift · Lovable commits 43173dad, 0075b4b · native commit 12c0270</t>
        </is>
      </c>
      <c r="K19" s="28" t="inlineStr">
        <is>
          <t>Updated Sep 25: Settings shows Enable while permission is undetermined, On when authorized and Open Settings after denial. REQUEST_NOTIFICATION_PERMISSION prompts only after the user taps Enable. The misleading Deadline reminders and Daily prompt rows were removed. Lovable is published; focused bridge tests, typecheck and production build pass.</t>
        </is>
      </c>
    </row>
    <row r="20" ht="32" customFormat="1" customHeight="1" s="5">
      <c r="A20" s="21" t="inlineStr">
        <is>
          <t>N-12</t>
        </is>
      </c>
      <c r="B20" s="29" t="inlineStr">
        <is>
          <t>M2</t>
        </is>
      </c>
      <c r="C20" s="29" t="inlineStr">
        <is>
          <t>Week 2</t>
        </is>
      </c>
      <c r="D20" s="29" t="inlineStr">
        <is>
          <t>Native Testament Timer — schedule and cancel</t>
        </is>
      </c>
      <c r="E20" s="29" t="inlineStr">
        <is>
          <t>Native</t>
        </is>
      </c>
      <c r="F20" s="22" t="n">
        <v>8</v>
      </c>
      <c r="G20" s="29" t="n"/>
      <c r="H20" s="29" t="inlineStr">
        <is>
          <t>Done</t>
        </is>
      </c>
      <c r="I20" s="29" t="inlineStr">
        <is>
          <t>Countdown survives backgrounding; cancelling removes the pending notification</t>
        </is>
      </c>
      <c r="J20" s="29" t="inlineStr">
        <is>
          <t>ios/Honoured/TestamentTimer.swift · simulator: scenario 18/18, background banner, exactly-once completion across relaunch (Sep 15); cancel then background → no banner at endsAt (Sep 18, screenshot 05) · docs/bridge.md timer rules</t>
        </is>
      </c>
      <c r="K20" s="29" t="inlineStr">
        <is>
          <t>Done on the simulator against the acceptance criterion: the countdown survives backgrounding (banner delivered, TIMER_COMPLETED { notified: true } once on return, and delivered from the durable queue after a relaunch) and cancelling removes the pending notification (no banner after endsAt). One persisted timer; replacing broadcasts TIMER_CANCELLED first; CANCEL is idempotent. Lock-screen behaviour and gong are checked in Week 3 QA / N-15.</t>
        </is>
      </c>
    </row>
    <row r="21" ht="32" customFormat="1" customHeight="1" s="5">
      <c r="A21" s="19" t="inlineStr">
        <is>
          <t>N-13</t>
        </is>
      </c>
      <c r="B21" s="28" t="inlineStr">
        <is>
          <t>M2</t>
        </is>
      </c>
      <c r="C21" s="28" t="inlineStr">
        <is>
          <t>Week 2</t>
        </is>
      </c>
      <c r="D21" s="28" t="inlineStr">
        <is>
          <t>Background goal detection, once per activity per day</t>
        </is>
      </c>
      <c r="E21" s="28" t="inlineStr">
        <is>
          <t>Native</t>
        </is>
      </c>
      <c r="F21" s="20" t="n">
        <v>8</v>
      </c>
      <c r="G21" s="28" t="n"/>
      <c r="H21" s="28" t="inlineStr">
        <is>
          <t>Done</t>
        </is>
      </c>
      <c r="I21" s="28" t="inlineStr">
        <is>
          <t>Crossing a goal while backgrounded notifies exactly once</t>
        </is>
      </c>
      <c r="J21" s="28" t="inlineStr">
        <is>
          <t>ios/Honoured/GoalMonitor.swift · simulator scenario 11/11 PASS Sep 15 (outputs/week2-goals-20260915) · docs/bridge.md "How native decides"</t>
        </is>
      </c>
      <c r="K21" s="28" t="inlineStr">
        <is>
          <t>Done: goals compared against today's source-deduplicated totals after every pass with new samples (before the HealthKit completion is acknowledged), after SET_GOALS and after a reset-hour change; one persisted marker per activity per health day; ACTIVITY_COMPLETED silences the contract and its goal slots; simulator scenario 12/12 with injected totals. Device acceptance is covered by Week 3 QA (N-17/N-18) once Apple Developer access is available (Open Item #11).</t>
        </is>
      </c>
    </row>
    <row r="22" ht="32" customFormat="1" customHeight="1" s="5">
      <c r="A22" s="21" t="inlineStr">
        <is>
          <t>N-14</t>
        </is>
      </c>
      <c r="B22" s="29" t="inlineStr">
        <is>
          <t>M2</t>
        </is>
      </c>
      <c r="C22" s="29" t="inlineStr">
        <is>
          <t>Week 2</t>
        </is>
      </c>
      <c r="D22" s="29" t="inlineStr">
        <is>
          <t>Notification deep link into the completed activity</t>
        </is>
      </c>
      <c r="E22" s="29" t="inlineStr">
        <is>
          <t>Native</t>
        </is>
      </c>
      <c r="F22" s="22" t="n">
        <v>3</v>
      </c>
      <c r="G22" s="29" t="n"/>
      <c r="H22" s="29" t="inlineStr">
        <is>
          <t>Done</t>
        </is>
      </c>
      <c r="I22" s="29" t="inlineStr">
        <is>
          <t>Tapping the notification opens the right activity, including from cold start</t>
        </is>
      </c>
      <c r="J22" s="29" t="inlineStr">
        <is>
          <t>ios/Honoured/NativeEventStore.swift, NativeBridge.swift · typecheck + simulator build Sep 15 · docs/bridge.md event queue</t>
        </is>
      </c>
      <c r="K22" s="29" t="inlineStr">
        <is>
          <t>Done: notification taps post NOTIFICATION_OPENED { kind, activityId } through a durable, bounded on-disk event store that survives cold start and background launches, flushed exactly once and merged by time with the in-memory queue; the web side (Lovable 9672693) opens the Contract tab and buffers events that arrive before the store hydrates. Cold-start flush verified on the simulator with TIMER_COMPLETED. Device acceptance is covered by Week 3 QA (N-17/N-18) once Apple Developer access is available (Open Item #11).</t>
        </is>
      </c>
    </row>
    <row r="23" ht="91" customFormat="1" customHeight="1" s="5">
      <c r="A23" s="19" t="inlineStr">
        <is>
          <t>N-15</t>
        </is>
      </c>
      <c r="B23" s="28" t="inlineStr">
        <is>
          <t>M2</t>
        </is>
      </c>
      <c r="C23" s="28" t="inlineStr">
        <is>
          <t>Week 2</t>
        </is>
      </c>
      <c r="D23" s="28" t="inlineStr">
        <is>
          <t>Three-strike gong sound, silent-switch respected, settings toggle</t>
        </is>
      </c>
      <c r="E23" s="28" t="inlineStr">
        <is>
          <t>Native</t>
        </is>
      </c>
      <c r="F23" s="20" t="n">
        <v>6</v>
      </c>
      <c r="G23" s="28" t="n"/>
      <c r="H23" s="28" t="inlineStr">
        <is>
          <t>Done</t>
        </is>
      </c>
      <c r="I23" s="28" t="inlineStr">
        <is>
          <t>Completion sound remains user-toggleable, plays three gong strikes when iOS permits notification audio and does not cut into other audio</t>
        </is>
      </c>
      <c r="J23" s="28" t="inlineStr">
        <is>
          <t>ios/Honoured/gong.caf, NotificationSound.swift · 12c0270 (gong) · b33c764 (Sep 25: shell default off, left out while other audio plays) · the published web app still starts the sound on</t>
        </is>
      </c>
      <c r="K23" s="28" t="inlineStr">
        <is>
          <t>Done: the three-strike gong plays when iOS allows it, and since Sep 25 it is left out if music or other audio is already playing when the alert is set. The app shell now defaults the sound to off, but the published web app starts it on, so the default needs a decision (Open Item #16).</t>
        </is>
      </c>
    </row>
    <row r="24" ht="91" customFormat="1" customHeight="1" s="5">
      <c r="A24" s="21" t="inlineStr">
        <is>
          <t>N-16</t>
        </is>
      </c>
      <c r="B24" s="29" t="inlineStr">
        <is>
          <t>M2</t>
        </is>
      </c>
      <c r="C24" s="29" t="inlineStr">
        <is>
          <t>Week 2</t>
        </is>
      </c>
      <c r="D24" s="29" t="inlineStr">
        <is>
          <t>Sign in with Apple — nonce, token hand-off to Supabase</t>
        </is>
      </c>
      <c r="E24" s="29" t="inlineStr">
        <is>
          <t>Native</t>
        </is>
      </c>
      <c r="F24" s="22" t="n">
        <v>10</v>
      </c>
      <c r="G24" s="29" t="n"/>
      <c r="H24" s="29" t="inlineStr">
        <is>
          <t>Done</t>
        </is>
      </c>
      <c r="I24" s="29" t="inlineStr">
        <is>
          <t>Linking from an anonymous account keeps all previously synced data</t>
        </is>
      </c>
      <c r="J24" s="29" t="inlineStr">
        <is>
          <t>ios/Honoured/Auth/AppleSignInCoordinator.swift · Lovable 6fb9983 (Sep 23) · first live Apple sign-ins Sep 23 · Lovable e6e07b5 + fcb2a30 (Oct 1: Apple linked onto the signed-in account)</t>
        </is>
      </c>
      <c r="K24" s="29" t="inlineStr">
        <is>
          <t>Done: Sign in with Apple works end to end on real iPhones, including the client's (Sep 23). Since Oct 1, using it while already signed in adds Apple to that same account so no data is left behind. The app is still sign-in first, not anonymous (Open Item #7).</t>
        </is>
      </c>
    </row>
    <row r="25" ht="76.5" customFormat="1" customHeight="1" s="5">
      <c r="A25" s="19" t="inlineStr">
        <is>
          <t>N-17</t>
        </is>
      </c>
      <c r="B25" s="28" t="inlineStr">
        <is>
          <t>M2</t>
        </is>
      </c>
      <c r="C25" s="28" t="inlineStr">
        <is>
          <t>Week 3</t>
        </is>
      </c>
      <c r="D25" s="28" t="inlineStr">
        <is>
          <t>QA — HealthKit permission matrix</t>
        </is>
      </c>
      <c r="E25" s="28" t="inlineStr">
        <is>
          <t>QA</t>
        </is>
      </c>
      <c r="F25" s="20" t="n">
        <v>8</v>
      </c>
      <c r="G25" s="28" t="n"/>
      <c r="H25" s="28" t="inlineStr">
        <is>
          <t>In progress</t>
        </is>
      </c>
      <c r="I25" s="28" t="inlineStr">
        <is>
          <t>Denied, partial, revoked and no-data devices all behave sensibly</t>
        </is>
      </c>
      <c r="J25" s="28" t="inlineStr">
        <is>
          <t>Live database: Health data from real iPhones since Sep 18 · searched docs, commits and logs: no recorded denied / partial / revoked / no-data runs</t>
        </is>
      </c>
      <c r="K25" s="28" t="inlineStr">
        <is>
          <t>Granting Health access works on real iPhones, including the client's. The denied, partial, revoked and no-data cases have not been run and recorded yet.</t>
        </is>
      </c>
    </row>
    <row r="26" ht="120" customFormat="1" customHeight="1" s="5">
      <c r="A26" s="21" t="inlineStr">
        <is>
          <t>N-18</t>
        </is>
      </c>
      <c r="B26" s="29" t="inlineStr">
        <is>
          <t>M2</t>
        </is>
      </c>
      <c r="C26" s="29" t="inlineStr">
        <is>
          <t>Week 3</t>
        </is>
      </c>
      <c r="D26" s="29" t="inlineStr">
        <is>
          <t>QA — background, offline, timezone and midnight edge cases</t>
        </is>
      </c>
      <c r="E26" s="29" t="inlineStr">
        <is>
          <t>QA</t>
        </is>
      </c>
      <c r="F26" s="22" t="n">
        <v>8</v>
      </c>
      <c r="G26" s="29" t="n"/>
      <c r="H26" s="29" t="inlineStr">
        <is>
          <t>In progress</t>
        </is>
      </c>
      <c r="I26" s="29" t="inlineStr">
        <is>
          <t>No data loss or duplication across the tested scenarios</t>
        </is>
      </c>
      <c r="J26" s="29" t="inlineStr">
        <is>
          <t>Fixes from device use: 5b84381 (Sep 23), 59055e8 (Sep 25) · no recorded offline, timezone, midnight or Low Power runs · general Health uploads stopped: none since Oct 7, none from the client's iPhone since Oct 2, while its Icon readings still arrive</t>
        </is>
      </c>
      <c r="K26" s="29" t="inlineStr">
        <is>
          <t>Real-device use is under way, and a device test shaped the Sep 25 fix for completion in the background. The offline, timezone, midnight and Low Power runs are not recorded yet. To check first: general Health data has stopped reaching the server, although Icon readings still arrive (Open Item #20).</t>
        </is>
      </c>
    </row>
    <row r="27" ht="91" customFormat="1" customHeight="1" s="5">
      <c r="A27" s="19" t="inlineStr">
        <is>
          <t>N-19</t>
        </is>
      </c>
      <c r="B27" s="28" t="inlineStr">
        <is>
          <t>M2</t>
        </is>
      </c>
      <c r="C27" s="28" t="inlineStr">
        <is>
          <t>Week 3</t>
        </is>
      </c>
      <c r="D27" s="28" t="inlineStr">
        <is>
          <t>Bug fixes arising from QA</t>
        </is>
      </c>
      <c r="E27" s="28" t="inlineStr">
        <is>
          <t>Native</t>
        </is>
      </c>
      <c r="F27" s="20" t="n">
        <v>10</v>
      </c>
      <c r="G27" s="28" t="n"/>
      <c r="H27" s="28" t="inlineStr">
        <is>
          <t>In progress</t>
        </is>
      </c>
      <c r="I27" s="28" t="inlineStr">
        <is>
          <t>No known blocker defects remain</t>
        </is>
      </c>
      <c r="J27" s="28" t="inlineStr">
        <is>
          <t>Fixes: f6e9891, 5b84381, 7aaf06d, b33c764, 59055e8, 5a1dd1e; Lovable e6e07b5 · Oct 11: the stalled Health upload is fixed in the app (uploads split into small parts, refused rows isolated; Open Item #20), waiting for an iPhone build; Settings shows version 1.0.0 while the app is 1.0.5</t>
        </is>
      </c>
      <c r="K27" s="28" t="inlineStr">
        <is>
          <t>Bugs found so far in testing have been fixed in the app and on the web. Known issues before release: the stalled Health upload is fixed in the app and waits for the next iPhone build, and Settings still shows version 1.0.0.</t>
        </is>
      </c>
    </row>
    <row r="28" ht="134.5" customFormat="1" customHeight="1" s="5">
      <c r="A28" s="21" t="inlineStr">
        <is>
          <t>N-20</t>
        </is>
      </c>
      <c r="B28" s="29" t="inlineStr">
        <is>
          <t>M2</t>
        </is>
      </c>
      <c r="C28" s="29" t="inlineStr">
        <is>
          <t>Week 3</t>
        </is>
      </c>
      <c r="D28" s="29" t="inlineStr">
        <is>
          <t>App Store prep — privacy labels, policy, HealthKit review notes</t>
        </is>
      </c>
      <c r="E28" s="29" t="inlineStr">
        <is>
          <t>Ops</t>
        </is>
      </c>
      <c r="F28" s="22" t="n">
        <v>5</v>
      </c>
      <c r="G28" s="29" t="n"/>
      <c r="H28" s="29" t="inlineStr">
        <is>
          <t>In progress</t>
        </is>
      </c>
      <c r="I28" s="29" t="inlineStr">
        <is>
          <t>Privacy nutrition label and policy published before submission</t>
        </is>
      </c>
      <c r="J28" s="29" t="inlineStr">
        <is>
          <t>82653c2 (Sep 18): Health purpose strings, PrivacyInfo.xcprivacy · /privacy and /terms live (Lovable ad6d676, ae4b6a3, 85bdf31, Oct 4) · in-app account deletion with 30-day recovery · Apple token revocation code (Lovable 071f433) not yet run live · no privacy label or HealthKit review notes yet</t>
        </is>
      </c>
      <c r="K28" s="29" t="inlineStr">
        <is>
          <t>The public Privacy Policy (with a Health data section) and Terms are live and can be the App Store policy URL; the privacy manifest, Health purpose strings and in-app account deletion are in place. Still to do: the privacy nutrition label and HealthKit review notes in App Store Connect, and a live check that deleting an account revokes its Sign in with Apple token, which Apple requires.</t>
        </is>
      </c>
    </row>
    <row r="29" ht="105.5" customFormat="1" customHeight="1" s="5">
      <c r="A29" s="19" t="inlineStr">
        <is>
          <t>N-21</t>
        </is>
      </c>
      <c r="B29" s="28" t="inlineStr">
        <is>
          <t>M2</t>
        </is>
      </c>
      <c r="C29" s="28" t="inlineStr">
        <is>
          <t>Week 3</t>
        </is>
      </c>
      <c r="D29" s="28" t="inlineStr">
        <is>
          <t>TestFlight build and device smoke test</t>
        </is>
      </c>
      <c r="E29" s="28" t="inlineStr">
        <is>
          <t>QA</t>
        </is>
      </c>
      <c r="F29" s="20" t="n">
        <v>4</v>
      </c>
      <c r="G29" s="28" t="n"/>
      <c r="H29" s="28" t="inlineStr">
        <is>
          <t>In progress</t>
        </is>
      </c>
      <c r="I29" s="28" t="inlineStr">
        <is>
          <t>Client can install the build from TestFlight</t>
        </is>
      </c>
      <c r="J29" s="28" t="inlineStr">
        <is>
          <t>Builds 1.0.3 (1) Sep 24 → 1.0.4 (1) Sep 28 → 1.0.5 (1) Oct 3 · the client's iPhone has run the app since Sep 23 and a release-signed build since Oct 8 · all under the test App ID; no build under com.honoured.app found</t>
        </is>
      </c>
      <c r="K29" s="28" t="inlineStr">
        <is>
          <t>Test builds already reach the client's own iPhone: it has run Honoured since Sep 23, and since Oct 8 a release-signed build that receives the Icon pushes. Still to do: a build under the final release App ID that the client installs from TestFlight (Open Item #14).</t>
        </is>
      </c>
    </row>
    <row r="30" ht="72" customFormat="1" customHeight="1" s="5">
      <c r="A30" s="21" t="inlineStr">
        <is>
          <t>N-22</t>
        </is>
      </c>
      <c r="B30" s="29" t="inlineStr">
        <is>
          <t>M2</t>
        </is>
      </c>
      <c r="C30" s="29" t="inlineStr">
        <is>
          <t>Week 3</t>
        </is>
      </c>
      <c r="D30" s="29" t="inlineStr">
        <is>
          <t>App Store submission and review responses</t>
        </is>
      </c>
      <c r="E30" s="29" t="inlineStr">
        <is>
          <t>Ops</t>
        </is>
      </c>
      <c r="F30" s="22" t="n">
        <v>5</v>
      </c>
      <c r="G30" s="29" t="n"/>
      <c r="H30" s="29" t="inlineStr">
        <is>
          <t>Not started</t>
        </is>
      </c>
      <c r="I30" s="29" t="inlineStr">
        <is>
          <t>Build submitted; review feedback answered</t>
        </is>
      </c>
      <c r="J30" s="29" t="inlineStr">
        <is>
          <t>App Store lookup and search on Oct 10: no Honoured app · docs/phase1/v1.1-plan.vi.md §9 submission item unchecked</t>
        </is>
      </c>
      <c r="K30" s="29" t="inlineStr">
        <is>
          <t>Not submitted yet. Submission needs the publishing account and App ID (Open Item #14), the privacy label and review notes (N-20) and a TestFlight build the client has approved (N-21).</t>
        </is>
      </c>
    </row>
    <row r="31" ht="76.5" customFormat="1" customHeight="1" s="5">
      <c r="A31" s="19" t="inlineStr">
        <is>
          <t>N-23</t>
        </is>
      </c>
      <c r="B31" s="28" t="inlineStr">
        <is>
          <t>M3</t>
        </is>
      </c>
      <c r="C31" s="28" t="inlineStr">
        <is>
          <t>Week 4</t>
        </is>
      </c>
      <c r="D31" s="28" t="inlineStr">
        <is>
          <t>Widget Extension target + App Group</t>
        </is>
      </c>
      <c r="E31" s="28" t="inlineStr">
        <is>
          <t>Native</t>
        </is>
      </c>
      <c r="F31" s="20" t="n">
        <v>6</v>
      </c>
      <c r="G31" s="28" t="n"/>
      <c r="H31" s="28" t="inlineStr">
        <is>
          <t>Done</t>
        </is>
      </c>
      <c r="I31" s="28" t="inlineStr">
        <is>
          <t>Extension builds and shares state with the app</t>
        </is>
      </c>
      <c r="J31" s="28" t="inlineStr">
        <is>
          <t>ios/HonouredWidgets/ · ios/project.yml · simulator build Sep 24 · running on a real iPhone (Live Activity pushes accepted Oct 6–9) · App Group added Oct 3 (c825a76)</t>
        </is>
      </c>
      <c r="K31" s="28" t="inlineStr">
        <is>
          <t>Done: the extension is embedded, signed and running on a real iPhone under the test App ID. Since Oct 3 the app and extension also share an App Group (used by the V1.2 Icon card). Release needs the matching extension ID under the final App ID.</t>
        </is>
      </c>
    </row>
    <row r="32" ht="76.5" customFormat="1" customHeight="1" s="5">
      <c r="A32" s="21" t="inlineStr">
        <is>
          <t>N-24</t>
        </is>
      </c>
      <c r="B32" s="29" t="inlineStr">
        <is>
          <t>M3</t>
        </is>
      </c>
      <c r="C32" s="29" t="inlineStr">
        <is>
          <t>Week 4</t>
        </is>
      </c>
      <c r="D32" s="29" t="inlineStr">
        <is>
          <t>Live Activity UI — full values, progress, metric type and all presentations</t>
        </is>
      </c>
      <c r="E32" s="29" t="inlineStr">
        <is>
          <t>Native</t>
        </is>
      </c>
      <c r="F32" s="22" t="n">
        <v>8</v>
      </c>
      <c r="G32" s="29" t="n"/>
      <c r="H32" s="29" t="inlineStr">
        <is>
          <t>In progress</t>
        </is>
      </c>
      <c r="I32" s="29" t="inlineStr">
        <is>
          <t>Compact Dynamic Island shows metric identity, circular progress and the full current value; all presentations pass real-device QA</t>
        </is>
      </c>
      <c r="J32" s="29" t="inlineStr">
        <is>
          <t>12c0270, c5fe147, 60c8445, 59055e8 (Sep 25) · LiveActivityViewRenderTests · device test noted in docs/phase1/live-activities-plan.vi.md §4.3</t>
        </is>
      </c>
      <c r="K32" s="29" t="inlineStr">
        <is>
          <t>The card UI is finished since Sep 25: full values, circular progress, metric icons, the Honoured mark in the header and a gold pulse when a contract completes. A real-device check shaped the completion pulse; a recorded device pass of the Lock Screen and expanded views is still to do (N-29).</t>
        </is>
      </c>
    </row>
    <row r="33" ht="91" customFormat="1" customHeight="1" s="5">
      <c r="A33" s="19" t="inlineStr">
        <is>
          <t>N-25</t>
        </is>
      </c>
      <c r="B33" s="28" t="inlineStr">
        <is>
          <t>M3</t>
        </is>
      </c>
      <c r="C33" s="28" t="inlineStr">
        <is>
          <t>Week 4</t>
        </is>
      </c>
      <c r="D33" s="28" t="inlineStr">
        <is>
          <t>Live Activity lifecycle — start, update, end</t>
        </is>
      </c>
      <c r="E33" s="28" t="inlineStr">
        <is>
          <t>Native</t>
        </is>
      </c>
      <c r="F33" s="20" t="n">
        <v>6</v>
      </c>
      <c r="G33" s="28" t="n"/>
      <c r="H33" s="28" t="inlineStr">
        <is>
          <t>Done</t>
        </is>
      </c>
      <c r="I33" s="28" t="inlineStr">
        <is>
          <t>Activity starts with the timer and clears itself after completion</t>
        </is>
      </c>
      <c r="J33" s="28" t="inlineStr">
        <is>
          <t>ios/Honoured/LiveActivities/ · simulator Sep 24: multiple 20/20, timer 21/21, focus-race 16/16, account 8/8, restore 9/9 · 59055e8 · web hand-off live in the published web build 48b7a74</t>
        </is>
      </c>
      <c r="K33" s="28" t="inlineStr">
        <is>
          <t>Done: one card per tracked contract per day, the most recently opened or started contract leads, a completed card clears itself, and logout or account change removes every card. The web side is live in the published app. Real-device QA in N-29.</t>
        </is>
      </c>
    </row>
    <row r="34" ht="32" customFormat="1" customHeight="1" s="5">
      <c r="A34" s="21" t="inlineStr">
        <is>
          <t>N-26</t>
        </is>
      </c>
      <c r="B34" s="29" t="inlineStr">
        <is>
          <t>M3</t>
        </is>
      </c>
      <c r="C34" s="29" t="inlineStr">
        <is>
          <t>Week 5</t>
        </is>
      </c>
      <c r="D34" s="29" t="inlineStr">
        <is>
          <t>Flash for alerts setup guidance</t>
        </is>
      </c>
      <c r="E34" s="29" t="inlineStr">
        <is>
          <t>Web / Native bridge</t>
        </is>
      </c>
      <c r="F34" s="22" t="n">
        <v>4</v>
      </c>
      <c r="G34" s="29" t="n"/>
      <c r="H34" s="29" t="inlineStr">
        <is>
          <t>Done</t>
        </is>
      </c>
      <c r="I34" s="29" t="inlineStr">
        <is>
          <t>iPhone users can find the exact system Flash for Alerts path from Honoured Settings without private APIs</t>
        </is>
      </c>
      <c r="J34" s="29" t="inlineStr">
        <is>
          <t>Lovable Settings.tsx + tests/flash-for-alerts.test.ts · published commit 0075b4b</t>
        </is>
      </c>
      <c r="K34" s="29" t="inlineStr">
        <is>
          <t>Requirement revised Sep 25 because ActivityKit cannot guarantee an exact three-blink animation. The iOS-only Settings row opens an in-app guide for Settings → Accessibility → Audio &amp; Visual → Flash for Alerts, explains LED Flash / Screen / Both and Flash in Silent Mode, and offers Open Settings. Honoured cannot enable or read this system-wide switch. No App-Prefs or private URL scheme is used; 3/3 focused tests, typecheck and production build pass.</t>
        </is>
      </c>
    </row>
    <row r="35" ht="32" customFormat="1" customHeight="1" s="5">
      <c r="A35" s="19" t="inlineStr">
        <is>
          <t>N-27</t>
        </is>
      </c>
      <c r="B35" s="28" t="inlineStr">
        <is>
          <t>M3</t>
        </is>
      </c>
      <c r="C35" s="28" t="inlineStr">
        <is>
          <t>Week 5</t>
        </is>
      </c>
      <c r="D35" s="28" t="inlineStr">
        <is>
          <t>Hook Live Activity to HealthKit goal completion and immediate progress refresh</t>
        </is>
      </c>
      <c r="E35" s="28" t="inlineStr">
        <is>
          <t>Native</t>
        </is>
      </c>
      <c r="F35" s="20" t="n">
        <v>4</v>
      </c>
      <c r="G35" s="28" t="n"/>
      <c r="H35" s="28" t="inlineStr">
        <is>
          <t>Done</t>
        </is>
      </c>
      <c r="I35" s="28" t="inlineStr">
        <is>
          <t>HealthKit progress refreshes the card on an observer wake and reaching every mapped goal completes it</t>
        </is>
      </c>
      <c r="J35" s="28" t="inlineStr">
        <is>
          <t>ios/Honoured/Health/, LiveActivities/ · native commit 12c0270 · 94/94 tests</t>
        </is>
      </c>
      <c r="K35" s="28" t="inlineStr">
        <is>
          <t>Updated Sep 25: background observer wakes refresh the Live Activity before the full upload path and reuse the prefetched totals. Every tracked card shows current/target progress and reaches the honoured final state when all mapped Health goals are complete. Exact wake timing and locked-device behavior still require real-device QA.</t>
        </is>
      </c>
    </row>
    <row r="36" ht="134.5" customFormat="1" customHeight="1" s="5">
      <c r="A36" s="21" t="inlineStr">
        <is>
          <t>N-28</t>
        </is>
      </c>
      <c r="B36" s="29" t="inlineStr">
        <is>
          <t>M3</t>
        </is>
      </c>
      <c r="C36" s="29" t="inlineStr">
        <is>
          <t>Week 5</t>
        </is>
      </c>
      <c r="D36" s="29" t="inlineStr">
        <is>
          <t>Google Sign-In alongside Apple</t>
        </is>
      </c>
      <c r="E36" s="29" t="inlineStr">
        <is>
          <t>Native</t>
        </is>
      </c>
      <c r="F36" s="22" t="n">
        <v>8</v>
      </c>
      <c r="G36" s="29" t="n"/>
      <c r="H36" s="29" t="inlineStr">
        <is>
          <t>In progress</t>
        </is>
      </c>
      <c r="I36" s="29" t="inlineStr">
        <is>
          <t>Google sign-in works and does not break the Apple flow</t>
        </is>
      </c>
      <c r="J36" s="29" t="inlineStr">
        <is>
          <t>Native 08fd447 (Sep 24): GoogleSignIn-iOS 10.0.0 with nonce, Android Credential Manager, tests · Lovable 4b4b345, 3f045b1, 19ed2b9 · Google sign-in from a browser worked on the live system (Sep 24) · iPhone app needs Google client IDs (google-sign-in-plan.vi.md §12.5: G-01 and G-07 open)</t>
        </is>
      </c>
      <c r="K36" s="29" t="inlineStr">
        <is>
          <t>Google Sign-In is built for iPhone, Android and the web, and signing in with Google from a browser already works on the live system. Inside the iPhone app the Google button stays hidden until the app is built with Google client IDs for the release bundle ID and the sign-in provider accepts them; the real-device test follows (Open Item #15).</t>
        </is>
      </c>
    </row>
    <row r="37" ht="72" customFormat="1" customHeight="1" s="5">
      <c r="A37" s="19" t="inlineStr">
        <is>
          <t>N-29</t>
        </is>
      </c>
      <c r="B37" s="28" t="inlineStr">
        <is>
          <t>M3</t>
        </is>
      </c>
      <c r="C37" s="28" t="inlineStr">
        <is>
          <t>Week 5</t>
        </is>
      </c>
      <c r="D37" s="28" t="inlineStr">
        <is>
          <t>QA and submit the update</t>
        </is>
      </c>
      <c r="E37" s="28" t="inlineStr">
        <is>
          <t>QA</t>
        </is>
      </c>
      <c r="F37" s="20" t="n">
        <v>4</v>
      </c>
      <c r="G37" s="28" t="n"/>
      <c r="H37" s="28" t="inlineStr">
        <is>
          <t>Not started</t>
        </is>
      </c>
      <c r="I37" s="28" t="inlineStr">
        <is>
          <t>Update submitted to the App Store</t>
        </is>
      </c>
      <c r="J37" s="28" t="inlineStr">
        <is>
          <t>No App Store record (Oct 10) · Google device test not done (google-sign-in-plan.vi.md §12.5)</t>
        </is>
      </c>
      <c r="K37" s="28" t="inlineStr">
        <is>
          <t>Not started: the update can only be submitted after the first App Store release (N-22). Device checks done so far are recorded under N-21 and N-24.</t>
        </is>
      </c>
    </row>
    <row r="38" ht="17.25" customHeight="1">
      <c r="A38" s="23" t="n"/>
      <c r="B38" s="23" t="n"/>
      <c r="C38" s="23" t="n"/>
      <c r="D38" s="26" t="inlineStr">
        <is>
          <t>Total</t>
        </is>
      </c>
      <c r="E38" s="23" t="n"/>
      <c r="F38" s="25">
        <f>SUM(F5:F37)</f>
        <v>183</v>
      </c>
      <c r="G38" s="26">
        <f>SUM(G5:G37)</f>
        <v>0</v>
      </c>
      <c r="H38" s="23" t="n"/>
      <c r="I38" s="23" t="n"/>
      <c r="J38" s="23" t="n"/>
      <c r="K38" s="23" t="n"/>
    </row>
  </sheetData>
  <conditionalFormatting sqref="H5:H300">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"Deferred"</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activeCell="A1" sqref="A1"/>
    </sheetView>
  </sheetViews>
  <sheetFormatPr baseColWidth="8" defaultRowHeight="15"/>
  <cols>
    <col width="6.005000114440918" customWidth="1" style="12" min="1" max="1"/>
    <col width="44.00500106811523" customWidth="1" style="13" min="2" max="2"/>
    <col width="48.00500106811523" customWidth="1" style="13" min="3" max="3"/>
    <col width="14.00500011444092" customWidth="1" style="13" min="4" max="4"/>
    <col width="16.0049991607666" customWidth="1" style="13" min="5" max="5"/>
    <col width="14.00500011444092" customWidth="1" style="13" min="6" max="6"/>
    <col width="40.00500106811523" customWidth="1" style="13" min="7" max="7"/>
  </cols>
  <sheetData>
    <row r="1" ht="17.25" customHeight="1">
      <c r="A1" s="1" t="inlineStr">
        <is>
          <t>Open Items</t>
        </is>
      </c>
      <c r="B1" s="13" t="n"/>
      <c r="C1" s="13" t="n"/>
      <c r="D1" s="13" t="n"/>
      <c r="E1" s="13" t="n"/>
      <c r="F1" s="13" t="n"/>
      <c r="G1" s="13" t="n"/>
    </row>
    <row r="2" ht="17.25" customHeight="1">
      <c r="A2" s="3" t="inlineStr">
        <is>
          <t>Questions that need an answer before the related work can be finished. Raised early so they do not become blockers.</t>
        </is>
      </c>
      <c r="B2" s="13" t="n"/>
      <c r="C2" s="13" t="n"/>
      <c r="D2" s="13" t="n"/>
      <c r="E2" s="13" t="n"/>
      <c r="F2" s="13" t="n"/>
      <c r="G2" s="13" t="n"/>
    </row>
    <row r="3" ht="17.25" customHeight="1">
      <c r="A3" s="12" t="n"/>
      <c r="B3" s="13" t="n"/>
      <c r="C3" s="13" t="n"/>
      <c r="D3" s="13" t="n"/>
      <c r="E3" s="13" t="n"/>
      <c r="F3" s="13" t="n"/>
      <c r="G3" s="13" t="n"/>
    </row>
    <row r="4" ht="28" customFormat="1" customHeight="1" s="5">
      <c r="A4" s="6" t="inlineStr">
        <is>
          <t>#</t>
        </is>
      </c>
      <c r="B4" s="7" t="inlineStr">
        <is>
          <t>Item</t>
        </is>
      </c>
      <c r="C4" s="7" t="inlineStr">
        <is>
          <t>Why it matters</t>
        </is>
      </c>
      <c r="D4" s="7" t="inlineStr">
        <is>
          <t>Owner</t>
        </is>
      </c>
      <c r="E4" s="7" t="inlineStr">
        <is>
          <t>Needed by</t>
        </is>
      </c>
      <c r="F4" s="7" t="inlineStr">
        <is>
          <t>Status</t>
        </is>
      </c>
      <c r="G4" s="7" t="inlineStr">
        <is>
          <t>Answer</t>
        </is>
      </c>
    </row>
    <row r="5" ht="76.5" customFormat="1" customHeight="1" s="5">
      <c r="A5" s="8" t="n">
        <v>1</v>
      </c>
      <c r="B5" s="28" t="inlineStr">
        <is>
          <t>How do 'Calories' and 'Active Energy' differ in the UI?</t>
        </is>
      </c>
      <c r="C5" s="28" t="inlineStr">
        <is>
          <t>HealthKit reports both as active energy. Native now reads basal energy as well, so either interpretation works without a native change — the UI decision is still needed.</t>
        </is>
      </c>
      <c r="D5" s="28" t="inlineStr">
        <is>
          <t>Client</t>
        </is>
      </c>
      <c r="E5" s="28" t="inlineStr">
        <is>
          <t>Week 1</t>
        </is>
      </c>
      <c r="F5" s="28" t="inlineStr">
        <is>
          <t>Open</t>
        </is>
      </c>
      <c r="G5" s="28" t="inlineStr">
        <is>
          <t>Interim, in the live app: the 'Active Calories' activity is measured as Active energy (kcal), and Home shows Active energy and Resting energy as separate cards. Waiting for the client to confirm.</t>
        </is>
      </c>
    </row>
    <row r="6" ht="46" customFormat="1" customHeight="1" s="5">
      <c r="A6" s="10" t="n">
        <v>2</v>
      </c>
      <c r="B6" s="29" t="inlineStr">
        <is>
          <t>Should the Live Activity appear on the Lock Screen?</t>
        </is>
      </c>
      <c r="C6" s="29" t="inlineStr">
        <is>
          <t>The spec says the celebration shows only when the phone is unlocked, but Live Activities appear on the Lock Screen by default.</t>
        </is>
      </c>
      <c r="D6" s="29" t="inlineStr">
        <is>
          <t>Client</t>
        </is>
      </c>
      <c r="E6" s="29" t="inlineStr">
        <is>
          <t>Week 4</t>
        </is>
      </c>
      <c r="F6" s="29" t="inlineStr">
        <is>
          <t>Answered</t>
        </is>
      </c>
      <c r="G6" s="29" t="inlineStr">
        <is>
          <t>Sep 23: it shows on both the Lock Screen and the Dynamic Island.</t>
        </is>
      </c>
    </row>
    <row r="7" ht="62" customFormat="1" customHeight="1" s="5">
      <c r="A7" s="8" t="n">
        <v>3</v>
      </c>
      <c r="B7" s="28" t="inlineStr">
        <is>
          <t>What goal applies when no contract has been signed for the day?</t>
        </is>
      </c>
      <c r="C7" s="28" t="inlineStr">
        <is>
          <t>Background goal detection needs a target to compare against, otherwise no notification can fire.</t>
        </is>
      </c>
      <c r="D7" s="28" t="inlineStr">
        <is>
          <t>Client</t>
        </is>
      </c>
      <c r="E7" s="28" t="inlineStr">
        <is>
          <t>Week 2</t>
        </is>
      </c>
      <c r="F7" s="28" t="inlineStr">
        <is>
          <t>Open</t>
        </is>
      </c>
      <c r="G7" s="28" t="inlineStr">
        <is>
          <t>Unchanged: with no active contract, no goal is sent to the phone, so no goal notification fires. V1.2 Icons bring their own daily targets. Can be closed if the client accepts this.</t>
        </is>
      </c>
    </row>
    <row r="8" ht="120" customFormat="1" customHeight="1" s="5">
      <c r="A8" s="10" t="n">
        <v>4</v>
      </c>
      <c r="B8" s="29" t="inlineStr">
        <is>
          <t>Who is building the web app, and on what timeline?</t>
        </is>
      </c>
      <c r="C8" s="29" t="inlineStr">
        <is>
          <t>The Sep 28 launch needs both sides ready. The native layer cannot ship the release on its own.</t>
        </is>
      </c>
      <c r="D8" s="29" t="inlineStr">
        <is>
          <t>Client / Lovable</t>
        </is>
      </c>
      <c r="E8" s="29" t="inlineStr">
        <is>
          <t>Week 1</t>
        </is>
      </c>
      <c r="F8" s="29" t="inlineStr">
        <is>
          <t>Resolved</t>
        </is>
      </c>
      <c r="G8" s="29" t="inlineStr">
        <is>
          <t>The web app is built in Lovable. The published web app (build 48b7a74, Oct 7) contains every V1.1 web part: bridge v2, notification settings, Flash guidance, the Live Activities hand-off, the Google button and Apple account linking. Remaining release work is device QA and TestFlight/App Store delivery, tracked separately.</t>
        </is>
      </c>
    </row>
    <row r="9" ht="76.5" customFormat="1" customHeight="1" s="5">
      <c r="A9" s="8" t="n">
        <v>5</v>
      </c>
      <c r="B9" s="28" t="inlineStr">
        <is>
          <t>Who has Supabase dashboard access for the Lovable Cloud project?</t>
        </is>
      </c>
      <c r="C9" s="28" t="inlineStr">
        <is>
          <t>Project hsaexzikwubibkwcysnh is managed by Lovable Cloud and is not in my Supabase organisation, so the HealthKit tables and RPCs must be applied from the dashboard by whoever owns it.</t>
        </is>
      </c>
      <c r="D9" s="28" t="inlineStr">
        <is>
          <t>Lovable / Dev</t>
        </is>
      </c>
      <c r="E9" s="28" t="inlineStr">
        <is>
          <t>Week 1</t>
        </is>
      </c>
      <c r="F9" s="28" t="inlineStr">
        <is>
          <t>Resolved</t>
        </is>
      </c>
      <c r="G9" s="28" t="inlineStr">
        <is>
          <t>Schema and authenticated RPCs were applied and transaction-tested on Sep 14; on Sep 15 production refused anon reads and RPC calls as intended. Later database changes have been applied through Lovable Cloud as well.</t>
        </is>
      </c>
    </row>
    <row r="10" ht="76.5" customFormat="1" customHeight="1" s="5">
      <c r="A10" s="10" t="n">
        <v>6</v>
      </c>
      <c r="B10" s="29" t="inlineStr">
        <is>
          <t>Supabase publishable key for the native build</t>
        </is>
      </c>
      <c r="C10" s="29" t="inlineStr">
        <is>
          <t>Native reads it from .env → Info.plist. It is under the Lovable project's Cloud settings.</t>
        </is>
      </c>
      <c r="D10" s="29" t="inlineStr">
        <is>
          <t>Dev</t>
        </is>
      </c>
      <c r="E10" s="29" t="inlineStr">
        <is>
          <t>Week 1</t>
        </is>
      </c>
      <c r="F10" s="29" t="inlineStr">
        <is>
          <t>Resolved</t>
        </is>
      </c>
      <c r="G10" s="29" t="inlineStr">
        <is>
          <t>The public Supabase URL and publishable key were recovered from the deployed web bundle and configured for native builds on Sep 15; device builds have synced Health data to the live database since Sep 18.</t>
        </is>
      </c>
    </row>
    <row r="11" ht="91" customFormat="1" customHeight="1" s="5">
      <c r="A11" s="8" t="n">
        <v>7</v>
      </c>
      <c r="B11" s="28" t="inlineStr">
        <is>
          <t>The web app signs users in with an Auth screen today, not anonymously</t>
        </is>
      </c>
      <c r="C11" s="28" t="inlineStr">
        <is>
          <t>The V1.1 spec expects anonymous-by-default with an optional 'Save my account'. Native works either way, but this is a web-side change that needs an owner.</t>
        </is>
      </c>
      <c r="D11" s="28" t="inlineStr">
        <is>
          <t>Client</t>
        </is>
      </c>
      <c r="E11" s="28" t="inlineStr">
        <is>
          <t>Week 2</t>
        </is>
      </c>
      <c r="F11" s="28" t="inlineStr">
        <is>
          <t>Open</t>
        </is>
      </c>
      <c r="G11" s="28" t="inlineStr">
        <is>
          <t>Still sign-in first: the live app shows the sign-in screen and there are no anonymous accounts. Since Oct 1, Sign in with Apple adds Apple to the account already signed in (email or Google), so its data is kept. Waiting on the client's decision about anonymous-by-default.</t>
        </is>
      </c>
    </row>
    <row r="12" ht="105.5" customFormat="1" customHeight="1" s="5">
      <c r="A12" s="8" t="n">
        <v>8</v>
      </c>
      <c r="B12" s="28" t="inlineStr">
        <is>
          <t>Testament Timer pause/resume in the native shell</t>
        </is>
      </c>
      <c r="C12" s="28" t="inlineStr">
        <is>
          <t>The web timer offers Pause/Resume; the native contract has one timer with no pause. Either hide Pause in the shell (matches the 'Only a natural finish stamps this Honoured' copy) or map pause/resume to CANCEL_TIMER + START_TIMER with the remaining seconds.</t>
        </is>
      </c>
      <c r="D12" s="28" t="inlineStr">
        <is>
          <t>Client</t>
        </is>
      </c>
      <c r="E12" s="28" t="inlineStr">
        <is>
          <t>Week 2</t>
        </is>
      </c>
      <c r="F12" s="28" t="inlineStr">
        <is>
          <t>Open</t>
        </is>
      </c>
      <c r="G12" s="28" t="inlineStr">
        <is>
          <t>Interim behaviour, live since mid-September: Pause cancels the native timer and keeps the remaining time; Resume starts a new native timer for the remainder. 'Only a natural finish stamps this Honoured' is still shown. Waiting on the client to confirm this or to hide Pause in the app.</t>
        </is>
      </c>
    </row>
    <row r="13" ht="91" customFormat="1" customHeight="1" s="5">
      <c r="A13" s="8" t="n">
        <v>9</v>
      </c>
      <c r="B13" s="28" t="inlineStr">
        <is>
          <t>Gong asset and notification copy</t>
        </is>
      </c>
      <c r="C13" s="28" t="inlineStr">
        <is>
          <t>The app needs an App Store-safe custom sound under 30 seconds and clear timer/goal notification copy.</t>
        </is>
      </c>
      <c r="D13" s="28" t="inlineStr">
        <is>
          <t>Client / Dev</t>
        </is>
      </c>
      <c r="E13" s="28" t="inlineStr">
        <is>
          <t>Week 2</t>
        </is>
      </c>
      <c r="F13" s="28" t="inlineStr">
        <is>
          <t>Resolved</t>
        </is>
      </c>
      <c r="G13" s="28" t="inlineStr">
        <is>
          <t>Sep 25: a CC0 gong with three strikes (17.6 s CAF) is bundled; notification copy unchanged. The same day the gong was made music-safe (b33c764): it is left out when another app is already playing audio as the alert is set. Whether it starts on or off is Open Item #16.</t>
        </is>
      </c>
    </row>
    <row r="14" ht="91" customFormat="1" customHeight="1" s="5">
      <c r="A14" s="8" t="n">
        <v>10</v>
      </c>
      <c r="B14" s="28" t="inlineStr">
        <is>
          <t>Does one reached goal honour a two-commitment contract?</t>
        </is>
      </c>
      <c r="C14" s="28" t="inlineStr">
        <is>
          <t>Native announces GOAL_REACHED per commitment slot (contract:primary / contract:secondary). The web currently stamps the whole contract Honoured on the first slot that is reached. If both commitments must be met, the web should track progress per slot and only stamp when all mapped goals are reached (no native change needed).</t>
        </is>
      </c>
      <c r="D14" s="28" t="inlineStr">
        <is>
          <t>Client</t>
        </is>
      </c>
      <c r="E14" s="28" t="inlineStr">
        <is>
          <t>Week 2</t>
        </is>
      </c>
      <c r="F14" s="28" t="inlineStr">
        <is>
          <t>Answered</t>
        </is>
      </c>
      <c r="G14" s="28" t="inlineStr">
        <is>
          <t>Sep 24: the web honours a contract only when every Health-mapped slot is reached. Still the rule in the published app (checked Oct 10).</t>
        </is>
      </c>
    </row>
    <row r="15" ht="120" customFormat="1" customHeight="1" s="5">
      <c r="A15" s="8" t="n">
        <v>11</v>
      </c>
      <c r="B15" s="28" t="inlineStr">
        <is>
          <t>Apple Developer access for device testing</t>
        </is>
      </c>
      <c r="C15" s="28" t="inlineStr">
        <is>
          <t>Every remaining acceptance step (HealthKit background delivery, app refresh, goal notifications in the background, lock-screen timer, notification taps, real Sign in with Apple, TestFlight) needs the App ID com.testho.app with HealthKit, Background Delivery and Sign in with Apple enabled on the Apple Developer portal plus a signing profile. Nothing on the simulator can substitute for these.</t>
        </is>
      </c>
      <c r="D15" s="28" t="inlineStr">
        <is>
          <t>Client / Dev</t>
        </is>
      </c>
      <c r="E15" s="28" t="inlineStr">
        <is>
          <t>Week 2</t>
        </is>
      </c>
      <c r="F15" s="28" t="inlineStr">
        <is>
          <t>Answered</t>
        </is>
      </c>
      <c r="G15" s="28" t="inlineStr">
        <is>
          <t>Device testing has run on real iPhones since Sep 18, and since Sep 23 under the test App ID com.jimmy.upwork.honoured, including on the client's own iPhone (Apple sign-in Sep 23, release-signed build since Oct 8). Releasing under the final App ID is Open Item #14.</t>
        </is>
      </c>
    </row>
    <row r="16" ht="134.5" customFormat="1" customHeight="1" s="5">
      <c r="A16" s="8" t="n">
        <v>12</v>
      </c>
      <c r="B16" s="28" t="inlineStr">
        <is>
          <t>Allow more than one active contract at a time?</t>
        </is>
      </c>
      <c r="C16" s="28" t="inlineStr">
        <is>
          <t>Several Live Activity cards at once need several active contracts. The web blocks a new contract while one is active, so today there is at most one card.</t>
        </is>
      </c>
      <c r="D16" s="28" t="inlineStr">
        <is>
          <t>Client</t>
        </is>
      </c>
      <c r="E16" s="28" t="inlineStr">
        <is>
          <t>Week 5</t>
        </is>
      </c>
      <c r="F16" s="28" t="inlineStr">
        <is>
          <t>Answered</t>
        </is>
      </c>
      <c r="G16" s="28" t="inlineStr">
        <is>
          <t>Oct 4 and Oct 7 (client): one contract per day. An active Icon holds each of its scheduled days, so no other contract or Icon can be signed for that day, and Home no longer offers 'Sign a contract' while a contract or an Icon day is in force (Lovable c6cad1a, 1aa3e69; enforced by the database). Several results on one date can still come from contracts finished one after another, which M4 will show.</t>
        </is>
      </c>
    </row>
    <row r="17" ht="62" customFormat="1" customHeight="1" s="5">
      <c r="A17" s="8" t="n">
        <v>13</v>
      </c>
      <c r="B17" s="28" t="inlineStr">
        <is>
          <t>Should tapping a Live Activity for a locked contract go through the restriction screen?</t>
        </is>
      </c>
      <c r="C17" s="28" t="inlineStr">
        <is>
          <t>Today a tap opens that contract's detail directly. Keeping the restriction screen is a small web change.</t>
        </is>
      </c>
      <c r="D17" s="28" t="inlineStr">
        <is>
          <t>Client</t>
        </is>
      </c>
      <c r="E17" s="28" t="inlineStr">
        <is>
          <t>Week 5</t>
        </is>
      </c>
      <c r="F17" s="28" t="inlineStr">
        <is>
          <t>Open</t>
        </is>
      </c>
      <c r="G17" s="28" t="inlineStr">
        <is>
          <t>Current behaviour in the live app: a tap opens that contract's detail directly and skips the restriction screen, even when the contract is locked. Waiting on the client's choice.</t>
        </is>
      </c>
    </row>
    <row r="18" ht="134.5" customHeight="1">
      <c r="A18" s="10" t="n">
        <v>14</v>
      </c>
      <c r="B18" s="29" t="inlineStr">
        <is>
          <t>Which Apple Developer account and App ID will publish Honoured, and whose APNs key will the server use?</t>
        </is>
      </c>
      <c r="C18" s="29" t="inlineStr">
        <is>
          <t>Every build so far, including the one on the client's iPhone, uses the test App ID com.jimmy.upwork.honoured; the repo default is com.honoured.app. TestFlight and the App Store need the final App ID and widget extension ID with HealthKit, Sign in with Apple, Push and App Groups, plus an APNs key, Key ID and Team ID from the same team. The server's Sign in with Apple revoke settings and the published apple-app-site-association file also name only the test App ID.</t>
        </is>
      </c>
      <c r="D18" s="29" t="inlineStr">
        <is>
          <t>Client</t>
        </is>
      </c>
      <c r="E18" s="29" t="inlineStr">
        <is>
          <t>Week 6</t>
        </is>
      </c>
      <c r="F18" s="29" t="inlineStr">
        <is>
          <t>Open</t>
        </is>
      </c>
      <c r="G18" s="29" t="inlineStr">
        <is>
          <t>Sep 28: the client provides the APNs key, Key ID and Team ID. Pushes currently go through the test App ID.</t>
        </is>
      </c>
    </row>
    <row r="19" ht="105.5" customHeight="1">
      <c r="A19" s="8" t="n">
        <v>15</v>
      </c>
      <c r="B19" s="28" t="inlineStr">
        <is>
          <t>Google sign-in setup for the iPhone app (and Android)</t>
        </is>
      </c>
      <c r="C19" s="28" t="inlineStr">
        <is>
          <t>The app shows its Google button only when built with Google client IDs: an iOS OAuth client for the release bundle ID and the web client used as the token audience (plus an Android client with the signing SHA-1). The Lovable Cloud Google provider must accept them with the nonce check on and Manual linking enabled. Browser sign-in already works with the managed setup.</t>
        </is>
      </c>
      <c r="D19" s="28" t="inlineStr">
        <is>
          <t>Client / Dev</t>
        </is>
      </c>
      <c r="E19" s="28" t="inlineStr">
        <is>
          <t>Week 6</t>
        </is>
      </c>
      <c r="F19" s="28" t="inlineStr">
        <is>
          <t>Open</t>
        </is>
      </c>
      <c r="G19" s="28" t="n"/>
    </row>
    <row r="20" ht="76.5" customHeight="1">
      <c r="A20" s="10" t="n">
        <v>16</v>
      </c>
      <c r="B20" s="29" t="inlineStr">
        <is>
          <t>Should 'Completion sound' start on or off for new users?</t>
        </is>
      </c>
      <c r="C20" s="29" t="inlineStr">
        <is>
          <t>Since Sep 25 the iPhone shell defaults it to off so music is not interrupted, but the published web app starts it on and passes that to the shell, so new users hear the gong today. Either way the gong is left out when other audio is already playing.</t>
        </is>
      </c>
      <c r="D20" s="29" t="inlineStr">
        <is>
          <t>Client</t>
        </is>
      </c>
      <c r="E20" s="29" t="inlineStr">
        <is>
          <t>Week 6</t>
        </is>
      </c>
      <c r="F20" s="29" t="inlineStr">
        <is>
          <t>Open</t>
        </is>
      </c>
      <c r="G20" s="29" t="n"/>
    </row>
    <row r="21" ht="91" customHeight="1">
      <c r="A21" s="8" t="n">
        <v>17</v>
      </c>
      <c r="B21" s="28" t="inlineStr">
        <is>
          <t>When the chosen Health source recorded nothing that day (for example, the Apple Watch was not worn), should Honoured use the iPhone's steps, or count the day as having no Health data?</t>
        </is>
      </c>
      <c r="C21" s="28" t="inlineStr">
        <is>
          <t>Today the app shows no steps or distance for that day and does not switch to the iPhone; it falls back only when the chosen source no longer exists. With 'Let Honoured decide', an Apple Watch that once wrote steps stays the chosen source even after it stops being worn, so a steps Icon day could end BROKEN with 'No Health data'.</t>
        </is>
      </c>
      <c r="D21" s="28" t="inlineStr">
        <is>
          <t>Client</t>
        </is>
      </c>
      <c r="E21" s="28" t="inlineStr">
        <is>
          <t>Week 6</t>
        </is>
      </c>
      <c r="F21" s="28" t="inlineStr">
        <is>
          <t>Open</t>
        </is>
      </c>
      <c r="G21" s="28" t="n"/>
    </row>
    <row r="22" ht="76.5" customHeight="1">
      <c r="A22" s="10" t="n">
        <v>18</v>
      </c>
      <c r="B22" s="29" t="inlineStr">
        <is>
          <t>Should 'Let Honoured decide' prefer a Garmin (or another watch that writes to Apple Health) over the iPhone?</t>
        </is>
      </c>
      <c r="C22" s="29" t="inlineStr">
        <is>
          <t>The automatic order is Apple Watch, then iPhone, then other watches. The HealthKit accuracy brief (Sep 2026) rates Garmin well above the iPhone, and Garmin data already reaches Apple Health for test accounts. Garmin users can still pick it by hand in Settings.</t>
        </is>
      </c>
      <c r="D22" s="29" t="inlineStr">
        <is>
          <t>Client</t>
        </is>
      </c>
      <c r="E22" s="29" t="inlineStr">
        <is>
          <t>Week 6</t>
        </is>
      </c>
      <c r="F22" s="29" t="inlineStr">
        <is>
          <t>Open</t>
        </is>
      </c>
      <c r="G22" s="29" t="n"/>
    </row>
    <row r="23" ht="120" customHeight="1">
      <c r="A23" s="8" t="n">
        <v>19</v>
      </c>
      <c r="B23" s="28" t="inlineStr">
        <is>
          <t>Agree the real-iPhone acceptance passes for V1.2 and the devices to use</t>
        </is>
      </c>
      <c r="C23" s="28" t="inlineStr">
        <is>
          <t>M1 needs an iPhone paired with an Apple Watch (ideally also a Garmin). M2 still needs the evening card, the fallback notification with Live Activities off, sign-out and account switch on a phone, and a look at the renewed card that was not closed on Oct 8. M3 needs a real Scrivener 3 project on the cloud service writers use (Scrivener recommends Dropbox), plus Word and TextEdit files.</t>
        </is>
      </c>
      <c r="D23" s="28" t="inlineStr">
        <is>
          <t>Client / Dev</t>
        </is>
      </c>
      <c r="E23" s="28" t="inlineStr">
        <is>
          <t>Week 6</t>
        </is>
      </c>
      <c r="F23" s="28" t="inlineStr">
        <is>
          <t>Open</t>
        </is>
      </c>
      <c r="G23" s="28" t="n"/>
    </row>
    <row r="24" ht="105.5" customHeight="1">
      <c r="A24" s="10" t="n">
        <v>20</v>
      </c>
      <c r="B24" s="29" t="inlineStr">
        <is>
          <t>Find out why general Health data stopped reaching the server</t>
        </is>
      </c>
      <c r="C24" s="29" t="inlineStr">
        <is>
          <t>No new Health samples or daily totals have arrived since Oct 7 (none from the client's iPhone since Oct 2), while Icon readings from that iPhone still arrive (last Oct 10). The app sends Icon readings even after a failed upload, so an upload stuck on the phone would look like this. It needs a check on the device before M1 sign-off and release.</t>
        </is>
      </c>
      <c r="D24" s="29" t="inlineStr">
        <is>
          <t>Dev</t>
        </is>
      </c>
      <c r="E24" s="29" t="inlineStr">
        <is>
          <t>Week 6</t>
        </is>
      </c>
      <c r="F24" s="29" t="inlineStr">
        <is>
          <t>Answered</t>
        </is>
      </c>
      <c r="G24" s="29" t="inlineStr">
        <is>
          <t>Oct 11: the client's iPhone (release build, Garmin heart-rate data) still sends Icon readings but no Health upload has arrived since Oct 2. The phone sends each collection as one request; dense watch data makes a batch of tens of thousands of samples, and the server's gateway drops any request over about 16 MB without answering (measured). The app kept retrying that batch forever, and every later batch waited behind it. The server and the session are fine (an upload from the simulator returned 200). Fixed in the app: uploads go in parts of at most 2,000 samples (about 0.5 MB), a queue already stuck on a phone is split when the app starts, and rows the server refuses are isolated and dropped instead of blocking the queue. Checked on the simulator: a stuck 75,000-sample batch uploaded in about 20 s. Takes effect when the new build is installed on the client's iPhone.</t>
        </is>
      </c>
    </row>
    <row r="25" ht="76.5" customHeight="1">
      <c r="A25" s="8" t="n">
        <v>21</v>
      </c>
      <c r="B25" s="28" t="inlineStr">
        <is>
          <t>Keep the 'Standing Contract' heading on a signed daily contract now that Standing Contract is retired?</t>
        </is>
      </c>
      <c r="C25" s="28" t="inlineStr">
        <is>
          <t>Standing Contract is no longer offered, but the screen of any signed daily contract still shows the heading 'Standing Contract' and 'Signed and in force.', which may suggest the contract repeats daily. Renaming it is a small web copy change.</t>
        </is>
      </c>
      <c r="D25" s="28" t="inlineStr">
        <is>
          <t>Client</t>
        </is>
      </c>
      <c r="E25" s="28" t="inlineStr">
        <is>
          <t>Week 6</t>
        </is>
      </c>
      <c r="F25" s="28" t="inlineStr">
        <is>
          <t>Open</t>
        </is>
      </c>
      <c r="G25" s="28" t="n"/>
    </row>
    <row r="26" ht="91" customHeight="1">
      <c r="A26" s="10" t="n">
        <v>22</v>
      </c>
      <c r="B26" s="29" t="inlineStr">
        <is>
          <t>Save the Icon database scripts and push documentation in the repository</t>
        </is>
      </c>
      <c r="C26" s="29" t="inlineStr">
        <is>
          <t>The production database holds the only copy of the Icon schema, scoring and push logic: the scripts referenced in the code (icon_v1, icon_scoring_v1, icon_push_v5) and docs/phase2/icon-push.md are in neither repository, partly because docs/ is ignored by git in the native repository.</t>
        </is>
      </c>
      <c r="D26" s="29" t="inlineStr">
        <is>
          <t>Dev</t>
        </is>
      </c>
      <c r="E26" s="29" t="inlineStr">
        <is>
          <t>Before M2 sign-off</t>
        </is>
      </c>
      <c r="F26" s="29" t="inlineStr">
        <is>
          <t>Open</t>
        </is>
      </c>
      <c r="G26" s="29" t="n"/>
    </row>
    <row r="27" ht="120" customHeight="1">
      <c r="A27" s="8" t="n">
        <v>23</v>
      </c>
      <c r="B27" s="28" t="inlineStr">
        <is>
          <t>Word Tracker: confirm the starting-count rule as built, without the extra clause left open on Sep 28 (Gate B)</t>
        </is>
      </c>
      <c r="C27" s="28" t="inlineStr">
        <is>
          <t>Agreed Sep 28: the last reading before the Icon day starts is that day's starting count, and the first reading of the day is used only when there is no earlier reading, so words written after the last check but before the day starts count toward that day. The extra clause (if the file changed after the last reading, use the first reading of the day) is not built, because the app does not send the file's last-modified time.</t>
        </is>
      </c>
      <c r="D27" s="28" t="inlineStr">
        <is>
          <t>Client</t>
        </is>
      </c>
      <c r="E27" s="28" t="inlineStr">
        <is>
          <t>Week 6 (before the database change)</t>
        </is>
      </c>
      <c r="F27" s="28" t="inlineStr">
        <is>
          <t>Open</t>
        </is>
      </c>
      <c r="G27" s="28" t="inlineStr">
        <is>
          <t>Updated Oct 10–11, live, waiting for your confirmation: the starting count is the last reading in the 24 hours before the Icon day starts; when the document has not changed since midnight, the day's first reading is the exact start; otherwise the day's first reading. Words written between the last check and midnight therefore count toward the next Icon day, never twice. A read up to 30 minutes after the cut-off counts when the document last changed before it.</t>
        </is>
      </c>
    </row>
    <row r="28" ht="62" customHeight="1">
      <c r="A28" s="10" t="n">
        <v>24</v>
      </c>
      <c r="B28" s="29" t="inlineStr">
        <is>
          <t>Word Tracker: confirm the daily word target range of 100 to 100,000 words (Gate B)</t>
        </is>
      </c>
      <c r="C28" s="29" t="inlineStr">
        <is>
          <t>The slider moves in steps of 100, but any whole number in the range can be typed. Once the database change is applied it enforces this range, so changing it later needs another database update.</t>
        </is>
      </c>
      <c r="D28" s="29" t="inlineStr">
        <is>
          <t>Client</t>
        </is>
      </c>
      <c r="E28" s="29" t="inlineStr">
        <is>
          <t>Week 6 (before the database change)</t>
        </is>
      </c>
      <c r="F28" s="29" t="inlineStr">
        <is>
          <t>Open</t>
        </is>
      </c>
      <c r="G28" s="29" t="inlineStr">
        <is>
          <t>Built this way and live since Oct 10; it can be changed with a follow-up database change.</t>
        </is>
      </c>
    </row>
    <row r="29" ht="47.5" customHeight="1">
      <c r="A29" s="8" t="n">
        <v>25</v>
      </c>
      <c r="B29" s="28" t="inlineStr">
        <is>
          <t>Confirm that a stamped day is final (HONOURED, or BROKEN after the 24-hour wait)</t>
        </is>
      </c>
      <c r="C29" s="28" t="inlineStr">
        <is>
          <t>Still open from the Sep 28 notes. Health and word Icons are built this way: once a day is stamped, a later reading or sync cannot change it.</t>
        </is>
      </c>
      <c r="D29" s="28" t="inlineStr">
        <is>
          <t>Client</t>
        </is>
      </c>
      <c r="E29" s="28" t="inlineStr">
        <is>
          <t>Week 6</t>
        </is>
      </c>
      <c r="F29" s="28" t="inlineStr">
        <is>
          <t>Open</t>
        </is>
      </c>
      <c r="G29" s="28" t="inlineStr">
        <is>
          <t>Built this way and live since Oct 10; it can be changed with a follow-up database change.</t>
        </is>
      </c>
    </row>
    <row r="30" ht="76.5" customHeight="1">
      <c r="A30" s="10" t="n">
        <v>26</v>
      </c>
      <c r="B30" s="29" t="inlineStr">
        <is>
          <t>Go-ahead to apply the Word Tracker database change to the live database</t>
        </is>
      </c>
      <c r="C30" s="29" t="inlineStr">
        <is>
          <t>The rollout order is database change, web publish, then the iPhone build. Word Icons cannot be signed or tested end to end until the change is applied.</t>
        </is>
      </c>
      <c r="D30" s="29" t="inlineStr">
        <is>
          <t>Dev</t>
        </is>
      </c>
      <c r="E30" s="29" t="inlineStr">
        <is>
          <t>Week 6</t>
        </is>
      </c>
      <c r="F30" s="29" t="inlineStr">
        <is>
          <t>Resolved</t>
        </is>
      </c>
      <c r="G30" s="29" t="inlineStr">
        <is>
          <t>Applied Oct 10 as migration 0001_word_tracker_v1. The live functions match the tested SQL, row-level security and grants were checked, and the expiry job runs normally. The undo script is ready.</t>
        </is>
      </c>
    </row>
    <row r="31" ht="76.5" customHeight="1">
      <c r="A31" s="22" t="n">
        <v>27</v>
      </c>
      <c r="B31" s="29" t="inlineStr">
        <is>
          <t>Word Tracker: review the counting rules and the technical findings (Scrivener status, Pages note)</t>
        </is>
      </c>
      <c r="C31" s="29" t="inlineStr">
        <is>
          <t>The scope asks for written findings and a Pages note before acceptance, and the counting rule explains why a count can differ slightly from Word's own.</t>
        </is>
      </c>
      <c r="D31" s="29" t="inlineStr">
        <is>
          <t>Client</t>
        </is>
      </c>
      <c r="E31" s="29" t="inlineStr">
        <is>
          <t>Week 6</t>
        </is>
      </c>
      <c r="F31" s="29" t="inlineStr">
        <is>
          <t>Open</t>
        </is>
      </c>
      <c r="G31" s="29" t="inlineStr">
        <is>
          <t>Written Oct 10–11: 'Word Tracker Counting Rules' (https://claude.ai/artifact/NEwgWzgy5C9irPcNGCTCf7) and 'Word Tracker Technical Findings' (https://claude.ai/artifact/V9s8uKkEPc2Up4y2E5fQJG).</t>
        </is>
      </c>
    </row>
    <row r="32" ht="76.5" customHeight="1">
      <c r="A32" s="22" t="n">
        <v>28</v>
      </c>
      <c r="B32" s="29" t="inlineStr">
        <is>
          <t>History: show a regular contract on the date it was signed?</t>
        </is>
      </c>
      <c r="C32" s="29" t="inlineStr">
        <is>
          <t>M4 puts every result on its own day. A regular contract used to sit on the date it ended, so one that ran past midnight showed on the next day.</t>
        </is>
      </c>
      <c r="D32" s="29" t="inlineStr">
        <is>
          <t>Client</t>
        </is>
      </c>
      <c r="E32" s="29" t="inlineStr">
        <is>
          <t>Before M4 sign-off</t>
        </is>
      </c>
      <c r="F32" s="29" t="inlineStr">
        <is>
          <t>Open</t>
        </is>
      </c>
      <c r="G32" s="29" t="inlineStr">
        <is>
          <t>Built this way and live since Oct 11; it can be switched back with a small web change.</t>
        </is>
      </c>
    </row>
  </sheetData>
  <conditionalFormatting sqref="F5:F300">
    <cfRule type="cellIs" priority="1" operator="equal" dxfId="1">
      <formula>"Open"</formula>
    </cfRule>
    <cfRule type="cellIs" priority="2" operator="equal" dxfId="0">
      <formula>"Answered"</formula>
    </cfRule>
    <cfRule type="cellIs" priority="3" operator="equal" dxfId="0">
      <formula>"Resolved"</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activeCell="A1" sqref="A1"/>
    </sheetView>
  </sheetViews>
  <sheetFormatPr baseColWidth="8" defaultRowHeight="15"/>
  <cols>
    <col width="14.00500011444092" customWidth="1" style="17" min="1" max="1"/>
    <col width="12.00500011444092" customWidth="1" style="13" min="2" max="2"/>
    <col width="12.00500011444092" customWidth="1" style="13" min="3" max="3"/>
    <col width="44.00500106811523" customWidth="1" style="13" min="4" max="4"/>
    <col width="30.0049991607666" customWidth="1" style="13" min="5" max="5"/>
    <col width="34.00500106811523" customWidth="1" style="13" min="6" max="6"/>
  </cols>
  <sheetData>
    <row r="1" ht="17.25" customHeight="1">
      <c r="A1" s="14" t="inlineStr">
        <is>
          <t>Build Screenshots</t>
        </is>
      </c>
      <c r="B1" s="13" t="n"/>
      <c r="C1" s="13" t="n"/>
      <c r="D1" s="13" t="n"/>
      <c r="E1" s="13" t="n"/>
      <c r="F1" s="13" t="n"/>
    </row>
    <row r="2" ht="17.25" customHeight="1">
      <c r="A2" s="15" t="inlineStr">
        <is>
          <t>One entry per screenshot or screen recording, dated and tagged to the task it belongs to.</t>
        </is>
      </c>
      <c r="B2" s="13" t="n"/>
      <c r="C2" s="13" t="n"/>
      <c r="D2" s="13" t="n"/>
      <c r="E2" s="13" t="n"/>
      <c r="F2" s="13" t="n"/>
    </row>
    <row r="3" ht="17.25" customHeight="1">
      <c r="A3" s="17" t="n"/>
      <c r="B3" s="13" t="n"/>
      <c r="C3" s="13" t="n"/>
      <c r="D3" s="13" t="n"/>
      <c r="E3" s="13" t="n"/>
      <c r="F3" s="13" t="n"/>
    </row>
    <row r="4" ht="28" customFormat="1" customHeight="1" s="5">
      <c r="A4" s="7" t="inlineStr">
        <is>
          <t>Date</t>
        </is>
      </c>
      <c r="B4" s="7" t="inlineStr">
        <is>
          <t>Week</t>
        </is>
      </c>
      <c r="C4" s="7" t="inlineStr">
        <is>
          <t>Task ID</t>
        </is>
      </c>
      <c r="D4" s="7" t="inlineStr">
        <is>
          <t>What it shows</t>
        </is>
      </c>
      <c r="E4" s="7" t="inlineStr">
        <is>
          <t>Preview</t>
        </is>
      </c>
      <c r="F4" s="7" t="inlineStr">
        <is>
          <t>Link</t>
        </is>
      </c>
    </row>
    <row r="5" ht="330" customFormat="1" customHeight="1" s="5">
      <c r="A5" s="28" t="inlineStr">
        <is>
          <t>Sep 13</t>
        </is>
      </c>
      <c r="B5" s="28" t="inlineStr">
        <is>
          <t>Week 1</t>
        </is>
      </c>
      <c r="C5" s="28" t="inlineStr">
        <is>
          <t>N-02</t>
        </is>
      </c>
      <c r="D5" s="28" t="inlineStr">
        <is>
          <t>App shell running on the iPhone 17 Pro simulator after the HealthKit entitlements, Info.plist and bridge v2 changes. The web app renders normally — no error state.</t>
        </is>
      </c>
      <c r="E5" s="28" t="n"/>
      <c r="F5" s="28" t="n"/>
    </row>
    <row r="6" ht="330" customFormat="1" customHeight="1" s="5">
      <c r="A6" s="28" t="inlineStr">
        <is>
          <t>Sep 15</t>
        </is>
      </c>
      <c r="B6" s="28" t="inlineStr">
        <is>
          <t>Week 2</t>
        </is>
      </c>
      <c r="C6" s="28" t="inlineStr">
        <is>
          <t>N-11</t>
        </is>
      </c>
      <c r="D6" s="28" t="inlineStr">
        <is>
          <t>Notification permission sheet appears only after the first START_TIMER from the web layer — not at app launch. iPhone 17 simulator, debug bridge stub.</t>
        </is>
      </c>
      <c r="E6" s="28" t="n"/>
      <c r="F6" s="28" t="inlineStr">
        <is>
          <t>outputs/ in honoured-native (scenario logs alongside)</t>
        </is>
      </c>
    </row>
    <row r="7" ht="330" customFormat="1" customHeight="1" s="5">
      <c r="A7" s="28" t="inlineStr">
        <is>
          <t>Sep 15</t>
        </is>
      </c>
      <c r="B7" s="28" t="inlineStr">
        <is>
          <t>Week 2</t>
        </is>
      </c>
      <c r="C7" s="28" t="inlineStr">
        <is>
          <t>N-12</t>
        </is>
      </c>
      <c r="D7" s="28" t="inlineStr">
        <is>
          <t>Testament Timer notification ("Time's up") delivered while the app was in the background; on return the app emitted TIMER_COMPLETED { notified: true } exactly once.</t>
        </is>
      </c>
      <c r="E7" s="28" t="n"/>
      <c r="F7" s="28" t="inlineStr">
        <is>
          <t>outputs/ in honoured-native (scenario logs alongside)</t>
        </is>
      </c>
    </row>
    <row r="8" ht="330" customFormat="1" customHeight="1" s="5">
      <c r="A8" s="28" t="inlineStr">
        <is>
          <t>Sep 15</t>
        </is>
      </c>
      <c r="B8" s="28" t="inlineStr">
        <is>
          <t>Week 1</t>
        </is>
      </c>
      <c r="C8" s="28" t="inlineStr">
        <is>
          <t>N-03</t>
        </is>
      </c>
      <c r="D8" s="28" t="inlineStr">
        <is>
          <t>Health Access sheet listing the read-only types, reproduced on the simulator with an ad-hoc signed build (the unsigned build has no simulated entitlements).</t>
        </is>
      </c>
      <c r="E8" s="28" t="n"/>
      <c r="F8" s="28" t="inlineStr">
        <is>
          <t>outputs/ in honoured-native (scenario logs alongside)</t>
        </is>
      </c>
    </row>
    <row r="9" ht="330" customFormat="1" customHeight="1" s="5">
      <c r="A9" s="28" t="inlineStr">
        <is>
          <t>Sep 18</t>
        </is>
      </c>
      <c r="B9" s="28" t="inlineStr">
        <is>
          <t>Week 2</t>
        </is>
      </c>
      <c r="C9" s="28" t="inlineStr">
        <is>
          <t>N-16</t>
        </is>
      </c>
      <c r="D9" s="28" t="inlineStr">
        <is>
          <t>SIGN_IN_WITH_APPLE presents Apple's flow; the simulator has no Apple Account so iOS asks to sign in via Settings. A second request while the sheet is up is rejected immediately.</t>
        </is>
      </c>
      <c r="E9" s="28" t="n"/>
      <c r="F9" s="28" t="inlineStr">
        <is>
          <t>outputs/ in honoured-native (scenario logs alongside)</t>
        </is>
      </c>
    </row>
    <row r="10" ht="120" customFormat="1" customHeight="1" s="5">
      <c r="A10" s="29" t="inlineStr">
        <is>
          <t>Sep 25</t>
        </is>
      </c>
      <c r="B10" s="29" t="inlineStr">
        <is>
          <t>Week 4</t>
        </is>
      </c>
      <c r="C10" s="29" t="inlineStr">
        <is>
          <t>N-24</t>
        </is>
      </c>
      <c r="D10" s="29" t="inlineStr">
        <is>
          <t>Dynamic Island compact Health UI: full current value, circular percent progress and metric-specific icon; all Health metric presentations covered by render tests.</t>
        </is>
      </c>
      <c r="E10" s="29" t="n"/>
      <c r="F10" s="29" t="inlineStr">
        <is>
          <t>native commit 12c0270; 94/94 iOS tests</t>
        </is>
      </c>
    </row>
    <row r="11" ht="120" customFormat="1" customHeight="1" s="5">
      <c r="A11" s="28" t="inlineStr">
        <is>
          <t>Sep 25</t>
        </is>
      </c>
      <c r="B11" s="28" t="inlineStr">
        <is>
          <t>Week 2</t>
        </is>
      </c>
      <c r="C11" s="28" t="inlineStr">
        <is>
          <t>N-15</t>
        </is>
      </c>
      <c r="D11" s="28" t="inlineStr">
        <is>
          <t>Bundled notification sound contains three gong strikes; clean build bundle matches source hash and duration is 17.6 seconds.</t>
        </is>
      </c>
      <c r="E11" s="28" t="n"/>
      <c r="F11" s="28" t="inlineStr">
        <is>
          <t>ios/Honoured/gong.caf; docs/audio-assets.md</t>
        </is>
      </c>
    </row>
    <row r="12" ht="120" customFormat="1" customHeight="1" s="5">
      <c r="A12" s="29" t="inlineStr">
        <is>
          <t>Sep 25</t>
        </is>
      </c>
      <c r="B12" s="29" t="inlineStr">
        <is>
          <t>Week 2</t>
        </is>
      </c>
      <c r="C12" s="29" t="inlineStr">
        <is>
          <t>N-11</t>
        </is>
      </c>
      <c r="D12" s="29" t="inlineStr">
        <is>
          <t>Published iPhone notification Settings flow: Enable, On and Open Settings states, with completion sound defaulting on.</t>
        </is>
      </c>
      <c r="E12" s="29" t="n"/>
      <c r="F12" s="29" t="inlineStr">
        <is>
          <t>Lovable commit 43173dad</t>
        </is>
      </c>
    </row>
    <row r="13" ht="120" customFormat="1" customHeight="1" s="5">
      <c r="A13" s="28" t="inlineStr">
        <is>
          <t>Sep 25</t>
        </is>
      </c>
      <c r="B13" s="28" t="inlineStr">
        <is>
          <t>Week 5</t>
        </is>
      </c>
      <c r="C13" s="28" t="inlineStr">
        <is>
          <t>N-26</t>
        </is>
      </c>
      <c r="D13" s="28" t="inlineStr">
        <is>
          <t>Published Flash for alerts setup sheet with the exact Accessibility path and App Store-safe Settings navigation.</t>
        </is>
      </c>
      <c r="E13" s="28" t="n"/>
      <c r="F13" s="28" t="inlineStr">
        <is>
          <t>Lovable commit 0075b4b</t>
        </is>
      </c>
    </row>
    <row r="14" ht="120" customFormat="1" customHeight="1" s="5">
      <c r="A14" s="28" t="inlineStr">
        <is>
          <t>Oct 10</t>
        </is>
      </c>
      <c r="B14" s="28" t="inlineStr">
        <is>
          <t>Week 5</t>
        </is>
      </c>
      <c r="C14" s="28" t="inlineStr">
        <is>
          <t>M3-01</t>
        </is>
      </c>
      <c r="D14" s="28" t="inlineStr">
        <is>
          <t>Files picker in the Debug test harness offering all five formats, with the Scrivener project as one item</t>
        </is>
      </c>
      <c r="E14" s="28" t="n"/>
      <c r="F14" s="28" t="inlineStr">
        <is>
          <t>outputs/v12-m3-m4-20261011/m3-picker-five-formats.png (scenario logs alongside)</t>
        </is>
      </c>
    </row>
    <row r="15" ht="120" customFormat="1" customHeight="1" s="5">
      <c r="A15" s="28" t="inlineStr">
        <is>
          <t>Oct 10</t>
        </is>
      </c>
      <c r="B15" s="28" t="inlineStr">
        <is>
          <t>Week 5</t>
        </is>
      </c>
      <c r="C15" s="28" t="inlineStr">
        <is>
          <t>M3-06</t>
        </is>
      </c>
      <c r="D15" s="28" t="inlineStr">
        <is>
          <t>Word Icon on the live web app after choosing its source: only 'Word document' is shown, never a file name</t>
        </is>
      </c>
      <c r="E15" s="28" t="n"/>
      <c r="F15" s="28" t="inlineStr">
        <is>
          <t>outputs/v12-m3-m4-20261011/m3-word-source-chosen.png</t>
        </is>
      </c>
    </row>
    <row r="16" ht="120" customFormat="1" customHeight="1" s="5">
      <c r="A16" s="28" t="inlineStr">
        <is>
          <t>Oct 10</t>
        </is>
      </c>
      <c r="B16" s="28" t="inlineStr">
        <is>
          <t>Week 5</t>
        </is>
      </c>
      <c r="C16" s="28" t="inlineStr">
        <is>
          <t>M3-06</t>
        </is>
      </c>
      <c r="D16" s="28" t="inlineStr">
        <is>
          <t>Word Icon day HONOURED: Start 49 · Now 159 · +110 of 100 words</t>
        </is>
      </c>
      <c r="E16" s="28" t="n"/>
      <c r="F16" s="28" t="inlineStr">
        <is>
          <t>outputs/v12-m3-m4-20261011/m3-word-icon-honoured.png</t>
        </is>
      </c>
    </row>
    <row r="17" ht="120" customFormat="1" customHeight="1" s="5">
      <c r="A17" s="28" t="inlineStr">
        <is>
          <t>Oct 11</t>
        </is>
      </c>
      <c r="B17" s="28" t="inlineStr">
        <is>
          <t>Week 5</t>
        </is>
      </c>
      <c r="C17" s="28" t="inlineStr">
        <is>
          <t>M3-04</t>
        </is>
      </c>
      <c r="D17" s="28" t="inlineStr">
        <is>
          <t>Source moved to Recently Deleted: Reconnect with 'Reconnect the same source to keep this Icon.'</t>
        </is>
      </c>
      <c r="E17" s="28" t="n"/>
      <c r="F17" s="28" t="inlineStr">
        <is>
          <t>outputs/v12-m3-m4-20261011/m3-reconnect-message.png</t>
        </is>
      </c>
    </row>
    <row r="18" ht="120" customFormat="1" customHeight="1" s="5">
      <c r="A18" s="28" t="inlineStr">
        <is>
          <t>Oct 10</t>
        </is>
      </c>
      <c r="B18" s="28" t="inlineStr">
        <is>
          <t>Week 5</t>
        </is>
      </c>
      <c r="C18" s="28" t="inlineStr">
        <is>
          <t>M3-04</t>
        </is>
      </c>
      <c r="D18" s="28" t="inlineStr">
        <is>
          <t>Quiet word reminder before the cut-off on the Home Screen (from the test harness)</t>
        </is>
      </c>
      <c r="E18" s="28" t="n"/>
      <c r="F18" s="28" t="inlineStr">
        <is>
          <t>outputs/v12-m3-m4-20261011/m3-cutoff-reminder.png</t>
        </is>
      </c>
    </row>
    <row r="19" ht="120" customFormat="1" customHeight="1" s="5">
      <c r="A19" s="28" t="inlineStr">
        <is>
          <t>Oct 11</t>
        </is>
      </c>
      <c r="B19" s="28" t="inlineStr">
        <is>
          <t>Week 5</t>
        </is>
      </c>
      <c r="C19" s="28" t="inlineStr">
        <is>
          <t>M4-02</t>
        </is>
      </c>
      <c r="D19" s="28" t="inlineStr">
        <is>
          <t>History calendar: six equal bands on Oct 10, one per result, with the white day number</t>
        </is>
      </c>
      <c r="E19" s="28" t="n"/>
      <c r="F19" s="28" t="inlineStr">
        <is>
          <t>outputs/v12-m3-m4-20261011/m4-calendar-bands.png</t>
        </is>
      </c>
    </row>
    <row r="20" ht="120" customFormat="1" customHeight="1" s="5">
      <c r="A20" s="28" t="inlineStr">
        <is>
          <t>Oct 11</t>
        </is>
      </c>
      <c r="B20" s="28" t="inlineStr">
        <is>
          <t>Week 5</t>
        </is>
      </c>
      <c r="C20" s="28" t="inlineStr">
        <is>
          <t>M4-03</t>
        </is>
      </c>
      <c r="D20" s="28" t="inlineStr">
        <is>
          <t>Day sheet for Oct 10: every result with its time, session and word progress</t>
        </is>
      </c>
      <c r="E20" s="28" t="n"/>
      <c r="F20" s="28" t="inlineStr">
        <is>
          <t>outputs/v12-m3-m4-20261011/m4-day-sheet.png</t>
        </is>
      </c>
    </row>
    <row r="21" ht="120" customFormat="1" customHeight="1" s="5">
      <c r="A21" s="28" t="inlineStr">
        <is>
          <t>Oct 11</t>
        </is>
      </c>
      <c r="B21" s="28" t="inlineStr">
        <is>
          <t>Week 5</t>
        </is>
      </c>
      <c r="C21" s="28" t="inlineStr">
        <is>
          <t>M4-03</t>
        </is>
      </c>
      <c r="D21" s="28" t="inlineStr">
        <is>
          <t>Day sheet with a journal note and a Voice of Change recording that plays in place</t>
        </is>
      </c>
      <c r="E21" s="28" t="n"/>
      <c r="F21" s="28" t="inlineStr">
        <is>
          <t>outputs/v12-m3-m4-20261011/m4-day-sheet-journal-voice.png</t>
        </is>
      </c>
    </row>
    <row r="22" ht="120" customFormat="1" customHeight="1" s="5">
      <c r="A22" s="28" t="inlineStr">
        <is>
          <t>Oct 11</t>
        </is>
      </c>
      <c r="B22" s="28" t="inlineStr">
        <is>
          <t>Week 5</t>
        </is>
      </c>
      <c r="C22" s="28" t="inlineStr">
        <is>
          <t>M4-02</t>
        </is>
      </c>
      <c r="D22" s="28" t="inlineStr">
        <is>
          <t>HONOURED filter: the broken day is hidden and amended bands are dimmed</t>
        </is>
      </c>
      <c r="E22" s="28" t="n"/>
      <c r="F22" s="28" t="inlineStr">
        <is>
          <t>outputs/v12-m3-m4-20261011/m4-filter-honoured.png</t>
        </is>
      </c>
    </row>
    <row r="23" ht="120" customFormat="1" customHeight="1" s="5">
      <c r="A23" s="28" t="n"/>
      <c r="B23" s="28" t="n"/>
      <c r="C23" s="28" t="n"/>
      <c r="D23" s="28" t="n"/>
      <c r="E23" s="28" t="n"/>
      <c r="F23" s="28" t="n"/>
    </row>
    <row r="24" ht="120" customFormat="1" customHeight="1" s="5">
      <c r="A24" s="29" t="n"/>
      <c r="B24" s="29" t="n"/>
      <c r="C24" s="29" t="n"/>
      <c r="D24" s="29" t="n"/>
      <c r="E24" s="29" t="n"/>
      <c r="F24" s="29" t="n"/>
    </row>
    <row r="25" ht="120" customFormat="1" customHeight="1" s="5">
      <c r="A25" s="28" t="n"/>
      <c r="B25" s="28" t="n"/>
      <c r="C25" s="28" t="n"/>
      <c r="D25" s="28" t="n"/>
      <c r="E25" s="28" t="n"/>
      <c r="F25" s="28" t="n"/>
    </row>
    <row r="26" ht="120" customFormat="1" customHeight="1" s="5">
      <c r="A26" s="29" t="n"/>
      <c r="B26" s="29" t="n"/>
      <c r="C26" s="29" t="n"/>
      <c r="D26" s="29" t="n"/>
      <c r="E26" s="29" t="n"/>
      <c r="F26" s="29" t="n"/>
    </row>
    <row r="27" ht="120" customFormat="1" customHeight="1" s="5">
      <c r="A27" s="28" t="n"/>
      <c r="B27" s="28" t="n"/>
      <c r="C27" s="28" t="n"/>
      <c r="D27" s="28" t="n"/>
      <c r="E27" s="28" t="n"/>
      <c r="F27" s="28" t="n"/>
    </row>
    <row r="28" ht="120" customFormat="1" customHeight="1" s="5">
      <c r="A28" s="29" t="n"/>
      <c r="B28" s="29" t="n"/>
      <c r="C28" s="29" t="n"/>
      <c r="D28" s="29" t="n"/>
      <c r="E28" s="29" t="n"/>
      <c r="F28" s="29" t="n"/>
    </row>
    <row r="29" ht="120" customFormat="1" customHeight="1" s="5">
      <c r="A29" s="28" t="n"/>
      <c r="B29" s="28" t="n"/>
      <c r="C29" s="28" t="n"/>
      <c r="D29" s="28" t="n"/>
      <c r="E29" s="28" t="n"/>
      <c r="F29" s="28" t="n"/>
    </row>
    <row r="30" ht="120" customFormat="1" customHeight="1" s="5">
      <c r="A30" s="29" t="n"/>
      <c r="B30" s="29" t="n"/>
      <c r="C30" s="29" t="n"/>
      <c r="D30" s="29" t="n"/>
      <c r="E30" s="29" t="n"/>
      <c r="F30" s="29" t="n"/>
    </row>
    <row r="31" ht="120" customFormat="1" customHeight="1" s="5">
      <c r="A31" s="28" t="n"/>
      <c r="B31" s="28" t="n"/>
      <c r="C31" s="28" t="n"/>
      <c r="D31" s="28" t="n"/>
      <c r="E31" s="28" t="n"/>
      <c r="F31" s="28" t="n"/>
    </row>
    <row r="32" ht="120" customFormat="1" customHeight="1" s="5">
      <c r="A32" s="29" t="n"/>
      <c r="B32" s="29" t="n"/>
      <c r="C32" s="29" t="n"/>
      <c r="D32" s="29" t="n"/>
      <c r="E32" s="29" t="n"/>
      <c r="F32" s="29" t="n"/>
    </row>
    <row r="33" ht="120" customFormat="1" customHeight="1" s="5">
      <c r="A33" s="28" t="n"/>
      <c r="B33" s="28" t="n"/>
      <c r="C33" s="28" t="n"/>
      <c r="D33" s="28" t="n"/>
      <c r="E33" s="28" t="n"/>
      <c r="F33" s="28" t="n"/>
    </row>
    <row r="34" ht="120" customFormat="1" customHeight="1" s="5">
      <c r="A34" s="29" t="n"/>
      <c r="B34" s="29" t="n"/>
      <c r="C34" s="29" t="n"/>
      <c r="D34" s="29" t="n"/>
      <c r="E34" s="29" t="n"/>
      <c r="F34" s="29" t="n"/>
    </row>
    <row r="35" ht="120" customFormat="1" customHeight="1" s="5">
      <c r="A35" s="28" t="n"/>
      <c r="B35" s="28" t="n"/>
      <c r="C35" s="28" t="n"/>
      <c r="D35" s="28" t="n"/>
      <c r="E35" s="28" t="n"/>
      <c r="F35" s="2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2026-10-10T14:51:43Z</dcterms:created>
  <dcterms:modified xmlns:dcterms="http://purl.org/dc/terms/" xmlns:xsi="http://www.w3.org/2001/XMLSchema-instance" xsi:type="dcterms:W3CDTF">2026-10-11T10:50:24Z</dcterms:modified>
</cp:coreProperties>
</file>